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XPORT\files\"/>
    </mc:Choice>
  </mc:AlternateContent>
  <xr:revisionPtr revIDLastSave="0" documentId="13_ncr:1_{736F01B4-F9A6-4D4D-BA28-A1D3D5D0919F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Leads Data" sheetId="2" r:id="rId1"/>
    <sheet name="Dashboard" sheetId="1" state="hidden" r:id="rId2"/>
    <sheet name="Summary" sheetId="3" state="hidden" r:id="rId3"/>
    <sheet name="Settings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6" i="2" l="1"/>
  <c r="H197" i="2"/>
  <c r="H191" i="2"/>
  <c r="H190" i="2"/>
  <c r="H189" i="2"/>
  <c r="H188" i="2"/>
  <c r="H187" i="2"/>
  <c r="H186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8" i="2"/>
  <c r="R18" i="2"/>
  <c r="H19" i="2"/>
  <c r="R19" i="2"/>
  <c r="H20" i="2"/>
  <c r="R20" i="2"/>
  <c r="H21" i="2"/>
  <c r="R21" i="2"/>
  <c r="H22" i="2"/>
  <c r="R22" i="2"/>
  <c r="H23" i="2"/>
  <c r="R23" i="2"/>
  <c r="H24" i="2"/>
  <c r="R24" i="2"/>
  <c r="H7" i="2"/>
  <c r="R7" i="2"/>
  <c r="H8" i="2"/>
  <c r="R8" i="2"/>
  <c r="H9" i="2"/>
  <c r="R9" i="2"/>
  <c r="H10" i="2"/>
  <c r="R10" i="2"/>
  <c r="H11" i="2"/>
  <c r="R11" i="2"/>
  <c r="H12" i="2"/>
  <c r="R12" i="2"/>
  <c r="H13" i="2"/>
  <c r="R13" i="2"/>
  <c r="H14" i="2"/>
  <c r="R14" i="2"/>
  <c r="H15" i="2"/>
  <c r="R15" i="2"/>
  <c r="H16" i="2"/>
  <c r="R16" i="2"/>
  <c r="H4" i="2"/>
  <c r="R4" i="2"/>
  <c r="B23" i="3" l="1"/>
  <c r="B22" i="3"/>
  <c r="B21" i="3"/>
  <c r="E20" i="3"/>
  <c r="E19" i="3"/>
  <c r="E18" i="3"/>
  <c r="E17" i="3"/>
  <c r="E16" i="3"/>
  <c r="B16" i="3"/>
  <c r="E15" i="3"/>
  <c r="B15" i="3"/>
  <c r="E14" i="3"/>
  <c r="B14" i="3"/>
  <c r="E13" i="3"/>
  <c r="B13" i="3"/>
  <c r="E12" i="3"/>
  <c r="B12" i="3"/>
  <c r="E11" i="3"/>
  <c r="E10" i="3"/>
  <c r="E9" i="3"/>
  <c r="H8" i="3"/>
  <c r="E8" i="3"/>
  <c r="H7" i="3"/>
  <c r="E7" i="3"/>
  <c r="B7" i="3"/>
  <c r="H6" i="3"/>
  <c r="E6" i="3"/>
  <c r="B6" i="3"/>
  <c r="H5" i="3"/>
  <c r="E5" i="3"/>
  <c r="B5" i="3"/>
  <c r="H4" i="3"/>
  <c r="E4" i="3"/>
  <c r="B4" i="3"/>
  <c r="H3" i="3"/>
  <c r="E3" i="3"/>
  <c r="B3" i="3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5" i="2"/>
  <c r="H194" i="2"/>
  <c r="H193" i="2"/>
  <c r="H192" i="2"/>
  <c r="H26" i="2"/>
  <c r="H25" i="2"/>
  <c r="R17" i="2"/>
  <c r="H17" i="2"/>
  <c r="R6" i="2"/>
  <c r="H6" i="2"/>
  <c r="R5" i="2"/>
  <c r="H5" i="2"/>
  <c r="H89" i="1"/>
  <c r="G89" i="1"/>
  <c r="F89" i="1"/>
  <c r="E89" i="1"/>
  <c r="D89" i="1"/>
  <c r="C89" i="1"/>
  <c r="B89" i="1"/>
  <c r="H88" i="1"/>
  <c r="G88" i="1"/>
  <c r="F88" i="1"/>
  <c r="E88" i="1"/>
  <c r="D88" i="1"/>
  <c r="C88" i="1"/>
  <c r="B88" i="1"/>
  <c r="H87" i="1"/>
  <c r="G87" i="1"/>
  <c r="F87" i="1"/>
  <c r="E87" i="1"/>
  <c r="D87" i="1"/>
  <c r="C87" i="1"/>
  <c r="B87" i="1"/>
  <c r="H86" i="1"/>
  <c r="G86" i="1"/>
  <c r="F86" i="1"/>
  <c r="E86" i="1"/>
  <c r="D86" i="1"/>
  <c r="C86" i="1"/>
  <c r="B86" i="1"/>
  <c r="H85" i="1"/>
  <c r="G85" i="1"/>
  <c r="F85" i="1"/>
  <c r="E85" i="1"/>
  <c r="D85" i="1"/>
  <c r="C85" i="1"/>
  <c r="B85" i="1"/>
  <c r="H84" i="1"/>
  <c r="G84" i="1"/>
  <c r="F84" i="1"/>
  <c r="E84" i="1"/>
  <c r="D84" i="1"/>
  <c r="C84" i="1"/>
  <c r="B84" i="1"/>
  <c r="H83" i="1"/>
  <c r="G83" i="1"/>
  <c r="F83" i="1"/>
  <c r="E83" i="1"/>
  <c r="D83" i="1"/>
  <c r="C83" i="1"/>
  <c r="B83" i="1"/>
  <c r="H82" i="1"/>
  <c r="G82" i="1"/>
  <c r="F82" i="1"/>
  <c r="E82" i="1"/>
  <c r="D82" i="1"/>
  <c r="C82" i="1"/>
  <c r="B82" i="1"/>
  <c r="I7" i="1"/>
  <c r="D7" i="1"/>
  <c r="B7" i="1"/>
  <c r="E21" i="3" l="1"/>
  <c r="B17" i="3"/>
  <c r="H9" i="3"/>
  <c r="B8" i="3"/>
  <c r="B24" i="3"/>
</calcChain>
</file>

<file path=xl/sharedStrings.xml><?xml version="1.0" encoding="utf-8"?>
<sst xmlns="http://schemas.openxmlformats.org/spreadsheetml/2006/main" count="2668" uniqueCount="370">
  <si>
    <t>ALIMCO  —  EXPORT LEADS DASHBOARD</t>
  </si>
  <si>
    <t>Artificial Limbs &amp; Manufacturing Corporation of India  |  Ministry of Social Justice &amp; Empowerment, Govt. of India  |  Export Division</t>
  </si>
  <si>
    <t xml:space="preserve">  KEY PERFORMANCE INDICATORS</t>
  </si>
  <si>
    <t>TOTAL LEADS</t>
  </si>
  <si>
    <t>INTERESTED + ACTIVE</t>
  </si>
  <si>
    <t>REPLY PENDING</t>
  </si>
  <si>
    <t xml:space="preserve">  LEAD STATUS DISTRIBUTION</t>
  </si>
  <si>
    <t xml:space="preserve">  LEAD SOURCE BREAKDOWN</t>
  </si>
  <si>
    <t xml:space="preserve">  COUNTRY-WISE LEAD INTEREST</t>
  </si>
  <si>
    <t xml:space="preserve">  ORDER TYPE DISTRIBUTION</t>
  </si>
  <si>
    <t xml:space="preserve">  ORDER VALUE BY COMPANY (₹ INR)  —  COMMERCIAL PIPELINE</t>
  </si>
  <si>
    <t xml:space="preserve">  RECENT LEADS SNAPSHOT</t>
  </si>
  <si>
    <t>Company Name</t>
  </si>
  <si>
    <t>Country</t>
  </si>
  <si>
    <t>Lead Status</t>
  </si>
  <si>
    <t>Order Type</t>
  </si>
  <si>
    <t>Order Value (₹)</t>
  </si>
  <si>
    <t>Contact Person</t>
  </si>
  <si>
    <t>Notes</t>
  </si>
  <si>
    <t>ALIMCO — Empowering Lives Through Assistive Technology  |  www.alimco.in  |  Export Division  |  Ministry of Social Justice &amp; Empowerment, Govt. of India</t>
  </si>
  <si>
    <t>ALIMCO  —  EXPORT LEADS MANAGEMENT SYSTEM</t>
  </si>
  <si>
    <t>SNO.</t>
  </si>
  <si>
    <t>Last Contacted</t>
  </si>
  <si>
    <t>Order #</t>
  </si>
  <si>
    <t>Order Value (₹ INR)</t>
  </si>
  <si>
    <t>Order Value ($ USD)</t>
  </si>
  <si>
    <t>Lead Source</t>
  </si>
  <si>
    <t>Deal Stage</t>
  </si>
  <si>
    <t>Email Address</t>
  </si>
  <si>
    <t>City</t>
  </si>
  <si>
    <t>Pin Code</t>
  </si>
  <si>
    <t>Contact Number</t>
  </si>
  <si>
    <t>Last Updated</t>
  </si>
  <si>
    <t>Afrimed Pharmaceutical Ltd.</t>
  </si>
  <si>
    <t>Mr. Hyder Khan</t>
  </si>
  <si>
    <t>100 BTE TD 0E 17036</t>
  </si>
  <si>
    <t>Email</t>
  </si>
  <si>
    <t>Interested</t>
  </si>
  <si>
    <t>Negotiating</t>
  </si>
  <si>
    <t> afrimedpharmaceuticals@gmail.com</t>
  </si>
  <si>
    <t>Zambia</t>
  </si>
  <si>
    <t>LUSAKA</t>
  </si>
  <si>
    <t>10101</t>
  </si>
  <si>
    <t>+260 979 328887‬</t>
  </si>
  <si>
    <t>Interested in Hearing Aids</t>
  </si>
  <si>
    <t>SJS Life Sciences Ltd.</t>
  </si>
  <si>
    <t>Jitendra Pandey</t>
  </si>
  <si>
    <t>101 BTE TD 0E 17036</t>
  </si>
  <si>
    <t>jkpandey3s@gmail.com</t>
  </si>
  <si>
    <t>Nigeria</t>
  </si>
  <si>
    <t>LAGOS</t>
  </si>
  <si>
    <t>100271</t>
  </si>
  <si>
    <t>+2348128444444</t>
  </si>
  <si>
    <t>Medikit Corporation</t>
  </si>
  <si>
    <t>Md. Mamunor Rashid</t>
  </si>
  <si>
    <t>MULTIPLE ASSITIVE DEVICES</t>
  </si>
  <si>
    <t>Not Interested</t>
  </si>
  <si>
    <t>Closed - Lost</t>
  </si>
  <si>
    <t>s.johnson@texmart.us</t>
  </si>
  <si>
    <t>Bangladesh</t>
  </si>
  <si>
    <t>Dhaka</t>
  </si>
  <si>
    <t>1206</t>
  </si>
  <si>
    <t>Responded to email</t>
  </si>
  <si>
    <t>Kamsitoc Global Trading Sarl</t>
  </si>
  <si>
    <t>Comrade Kwaku Jojo (Mr)</t>
  </si>
  <si>
    <t>Proposal</t>
  </si>
  <si>
    <t>kwakujojo.7@gmail.com</t>
  </si>
  <si>
    <t>Togo</t>
  </si>
  <si>
    <t>Lome</t>
  </si>
  <si>
    <t>+22898191726</t>
  </si>
  <si>
    <t>export pricing required</t>
  </si>
  <si>
    <t>Dr. Rasar Rahim</t>
  </si>
  <si>
    <t>Reply to be Given</t>
  </si>
  <si>
    <t>rasarrebwar@gmail.com</t>
  </si>
  <si>
    <t>Iraq</t>
  </si>
  <si>
    <t> Mongolian burn association </t>
  </si>
  <si>
    <t>Dr. Batorgil Enkhbayar</t>
  </si>
  <si>
    <t>phased collaboration</t>
  </si>
  <si>
    <t>btrglcx98@gmail.com</t>
  </si>
  <si>
    <t>Mongolia</t>
  </si>
  <si>
    <t>email to be replied</t>
  </si>
  <si>
    <t>JMB Pharmaceuticals Pvt. Ltd. </t>
  </si>
  <si>
    <t>Krishna Mehta </t>
  </si>
  <si>
    <t>orthotics and prosthetics products</t>
  </si>
  <si>
    <t>wessely@jmbpharma.com</t>
  </si>
  <si>
    <t>Turkmenistan</t>
  </si>
  <si>
    <t> +91-9082004363</t>
  </si>
  <si>
    <t>Tripalogix Pty Ltd</t>
  </si>
  <si>
    <t>Karabo Motsamai Vuso</t>
  </si>
  <si>
    <t>tripalogix@gmail.com</t>
  </si>
  <si>
    <t>South Africa</t>
  </si>
  <si>
    <t>0615414005/0620441710</t>
  </si>
  <si>
    <t>LEAD SOURCE</t>
  </si>
  <si>
    <t>COUNTRY ANALYSIS</t>
  </si>
  <si>
    <t>COMPANY VALUES</t>
  </si>
  <si>
    <t>Source</t>
  </si>
  <si>
    <t>Count</t>
  </si>
  <si>
    <t>Leads</t>
  </si>
  <si>
    <t>Company</t>
  </si>
  <si>
    <t>Order (₹)</t>
  </si>
  <si>
    <t>Referral</t>
  </si>
  <si>
    <t>Exhibition</t>
  </si>
  <si>
    <t>ITEC</t>
  </si>
  <si>
    <t>Kamsitoc Global Trading</t>
  </si>
  <si>
    <t>Eximpedia</t>
  </si>
  <si>
    <t>JMB Pharmaceuticals</t>
  </si>
  <si>
    <t>TOTAL</t>
  </si>
  <si>
    <t>Tripalogix Pty Ltd</t>
  </si>
  <si>
    <t>LEAD STATUS</t>
  </si>
  <si>
    <t>Status</t>
  </si>
  <si>
    <t>Uganda</t>
  </si>
  <si>
    <t>Kenya</t>
  </si>
  <si>
    <t>No Reply</t>
  </si>
  <si>
    <t>Ethiopia</t>
  </si>
  <si>
    <t>Ghana</t>
  </si>
  <si>
    <t>Tanzania</t>
  </si>
  <si>
    <t>Egypt</t>
  </si>
  <si>
    <t>Sudan</t>
  </si>
  <si>
    <t>Cameroon</t>
  </si>
  <si>
    <t>ORDER TYPE</t>
  </si>
  <si>
    <t>Rwanda</t>
  </si>
  <si>
    <t>Vietnam</t>
  </si>
  <si>
    <t>Product Supply</t>
  </si>
  <si>
    <t>Phased Collaboration</t>
  </si>
  <si>
    <t>TOT and Manufacturing</t>
  </si>
  <si>
    <t>⚙️  SETTINGS &amp; CONFIGURATION</t>
  </si>
  <si>
    <t>USD Exchange Rate (₹ per $1)</t>
  </si>
  <si>
    <t>Update this to change all USD conversions in Leads Data</t>
  </si>
  <si>
    <t>ARTIFICIAL LIMBS AND MANUFACTURING CORPORATION OF INDIA</t>
  </si>
  <si>
    <t>Report Prepared By</t>
  </si>
  <si>
    <t>Export Sales Team</t>
  </si>
  <si>
    <t>Financial Year</t>
  </si>
  <si>
    <t>2026-27</t>
  </si>
  <si>
    <t>kamal group</t>
  </si>
  <si>
    <t>Mr. Sameer Santosh</t>
  </si>
  <si>
    <t>md@kamal-group.co.tz</t>
  </si>
  <si>
    <t>Dar es Salaam</t>
  </si>
  <si>
    <t xml:space="preserve"> +255 767 624 571</t>
  </si>
  <si>
    <t>reply awaited</t>
  </si>
  <si>
    <t>metl</t>
  </si>
  <si>
    <t>Mr. Gulam Dewji</t>
  </si>
  <si>
    <t>Visit</t>
  </si>
  <si>
    <t>tanzania</t>
  </si>
  <si>
    <t xml:space="preserve">+255 754 600 000 </t>
  </si>
  <si>
    <t>gd@metl.net</t>
  </si>
  <si>
    <t>rec france</t>
  </si>
  <si>
    <t>Mr. Carl</t>
  </si>
  <si>
    <t>TOT</t>
  </si>
  <si>
    <t>FRANCE</t>
  </si>
  <si>
    <t>PARIS</t>
  </si>
  <si>
    <t>MOU Signed</t>
  </si>
  <si>
    <t>ITEM ID</t>
  </si>
  <si>
    <t>ITEM NAME</t>
  </si>
  <si>
    <t>TD 0E 17036</t>
  </si>
  <si>
    <t>BTE HEARING AID- DIGITAL CATEGORY-III WITH 36 BATTERIES</t>
  </si>
  <si>
    <t>TD 0E 17037</t>
  </si>
  <si>
    <t>TD 2A 26</t>
  </si>
  <si>
    <t xml:space="preserve">Joystick Wheelchair </t>
  </si>
  <si>
    <t>TD 2C 51</t>
  </si>
  <si>
    <t>WHEEL CHAIR FOLDING STANDARD MODEL ADULT SIZE (SAATHI)</t>
  </si>
  <si>
    <t>TD 2A 06</t>
  </si>
  <si>
    <t>WHEEL CHAIR FOLDING CHILD SIZE CHILD (MAMTA)</t>
  </si>
  <si>
    <t>TD 0T 01</t>
  </si>
  <si>
    <t>SUGAMYA CANE</t>
  </si>
  <si>
    <t>TD1N70</t>
  </si>
  <si>
    <t xml:space="preserve">Braille Cane </t>
  </si>
  <si>
    <t>TD 2C 38</t>
  </si>
  <si>
    <t>TRICYCLE CONVENTIONAL HAND PROPELLED (GATIMAAN)</t>
  </si>
  <si>
    <t>TD 1P 09</t>
  </si>
  <si>
    <t>FOLDABLE WALKER</t>
  </si>
  <si>
    <t>TD 1N 24</t>
  </si>
  <si>
    <t>CRUTCH ELBOW ADJUSTABLE (ALUMINIUM) SIZE II</t>
  </si>
  <si>
    <t>TD 1N 39</t>
  </si>
  <si>
    <t>CRUTCH AXILLA ADJUSTABLE (ALUMINIUM) MEDIUM</t>
  </si>
  <si>
    <t>TD0E19</t>
  </si>
  <si>
    <t>DIGITAL PROGRAMMABLE BEHIND THE EAR (BTE) HEARING AID - TYPE III</t>
  </si>
  <si>
    <t>TDOJ42</t>
  </si>
  <si>
    <t>BTE OPTIMA PLUS</t>
  </si>
  <si>
    <t>QUANITY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</si>
  <si>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</si>
  <si>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</si>
  <si>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</si>
  <si>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</si>
  <si>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</si>
  <si>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</si>
  <si>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</si>
  <si>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</si>
  <si>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</si>
  <si>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</si>
  <si>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HEARING AID</t>
  </si>
  <si>
    <t>CANE</t>
  </si>
  <si>
    <t>WALKER</t>
  </si>
  <si>
    <t>WHEELCHAIR</t>
  </si>
  <si>
    <t>WHEECHAIR</t>
  </si>
  <si>
    <t>CRUTCH</t>
  </si>
  <si>
    <t>TD2A68</t>
  </si>
  <si>
    <t>Battery Operated Motorized Tricycle with Li-ion Battery</t>
  </si>
  <si>
    <t>TD2A26</t>
  </si>
  <si>
    <t>Joystick Wheel Chair</t>
  </si>
  <si>
    <t>TD2B37</t>
  </si>
  <si>
    <t>Active Folding Wheelchair</t>
  </si>
  <si>
    <t>TD2C51</t>
  </si>
  <si>
    <t>TD2A06</t>
  </si>
  <si>
    <t>TD1P09</t>
  </si>
  <si>
    <t>Foldable Walker (Aluminium)</t>
  </si>
  <si>
    <t>TD2P15</t>
  </si>
  <si>
    <t>M.S. Foldable Walker – Lite</t>
  </si>
  <si>
    <t>TD2C04</t>
  </si>
  <si>
    <t>Chair with Commode</t>
  </si>
  <si>
    <t>Wheel Chair Folding Standard Model – Adult Size</t>
  </si>
  <si>
    <t>Wheel Chair Folding Child Size (MAMTA)</t>
  </si>
  <si>
    <t>TRI-CYCLE</t>
  </si>
  <si>
    <t>Sach/Dynamic Foot Adapters M08 Stainless Steel</t>
  </si>
  <si>
    <t>SPARE PARTS</t>
  </si>
  <si>
    <t>Tube Clamp Adapter for Children</t>
  </si>
  <si>
    <t>Adapter Tubes for Children 22 mm Aluminium</t>
  </si>
  <si>
    <t>Tube Clamp Adapter for Children 22 mm Stainless Steel</t>
  </si>
  <si>
    <t>Fixed Lamination Anchor for Children Aluminium</t>
  </si>
  <si>
    <t>Rotatable Lamination Anchor Receiver for Children Aluminium</t>
  </si>
  <si>
    <t>Modular Monocentric Knee Joint for Kids</t>
  </si>
  <si>
    <t>PROSTHETICS</t>
  </si>
  <si>
    <t>Monocentric Knee Joint with Lock for Kids</t>
  </si>
  <si>
    <t>Polycentric Knee Joint for Kids</t>
  </si>
  <si>
    <t>Polycentric Knee Joint with Lock for Kids</t>
  </si>
  <si>
    <t>Polycentric Disarticulation Knee Joint for Kids</t>
  </si>
  <si>
    <t>Polycentric Disarticulation Knee Joint with Lock for Kids</t>
  </si>
  <si>
    <t>Below Knee Foam for Children</t>
  </si>
  <si>
    <t>Above Knee Foam for Children</t>
  </si>
  <si>
    <t>Above Knee Stump Stockings for KidS</t>
  </si>
  <si>
    <t>Manuel Valve Set</t>
  </si>
  <si>
    <t xml:space="preserve">Lara Carbon Foot </t>
  </si>
  <si>
    <t xml:space="preserve">Asya Carbon Foot </t>
  </si>
  <si>
    <t xml:space="preserve"> Carbon Foot Shell </t>
  </si>
  <si>
    <t>Carbon Foot Stocking</t>
  </si>
  <si>
    <t>Dynamic Foot</t>
  </si>
  <si>
    <t xml:space="preserve">Sach Foot </t>
  </si>
  <si>
    <t xml:space="preserve">Single Axis Foot Adapter Stainless Steel </t>
  </si>
  <si>
    <t xml:space="preserve">Pirogoff Foot </t>
  </si>
  <si>
    <t>Sach/Dynamic Foot Adapters M10 Titanium</t>
  </si>
  <si>
    <t>Sach/Dynamic Foot Adapters M08 Titanium</t>
  </si>
  <si>
    <t>Single Axis Foot Adapter Aluminium</t>
  </si>
  <si>
    <t>Adapter Tube Short 30 mm Titanium</t>
  </si>
  <si>
    <t>Adapter Tube Long 30 mm Titanium</t>
  </si>
  <si>
    <t>Rotation Adapter 360°</t>
  </si>
  <si>
    <t>Tube Clamp Adapter 30 mm
(Titanium)</t>
  </si>
  <si>
    <t>Sliding Tube Adapter Titanium</t>
  </si>
  <si>
    <t>Double Adapter Receiver 32 mm Titanium</t>
  </si>
  <si>
    <t>Double Adapter Receiver 40 mm Titanium</t>
  </si>
  <si>
    <t>Double Adapter Receiver 60 mm Titanium</t>
  </si>
  <si>
    <t>Double Adapter Receiver 80 mm Titanium</t>
  </si>
  <si>
    <t>Rotatable Lamination Anchor Receiver 3 Prongs
(Titanium)</t>
  </si>
  <si>
    <t>SL ANCHOR (M36X1,5 THREAD)
(Titanium)</t>
  </si>
  <si>
    <t>Lamination Anchor Receiver</t>
  </si>
  <si>
    <t>Pyramid Socket Adapter</t>
  </si>
  <si>
    <t xml:space="preserve">Monocentric Knee Joint with Frictional Lock </t>
  </si>
  <si>
    <t xml:space="preserve"> Polycentric Knee Joint with Lock</t>
  </si>
  <si>
    <t>Polycentric Disarticulation Knee Joint with Lock</t>
  </si>
  <si>
    <t xml:space="preserve"> Pneumatic Polycentric Knee Joint</t>
  </si>
  <si>
    <t>Hydraulic Polycentric Knee Joint</t>
  </si>
  <si>
    <t>Polycentric Knee Joint</t>
  </si>
  <si>
    <t>Flexcomfort Silikon Liner</t>
  </si>
  <si>
    <t>Hip Joint  Alloyed Aluminium</t>
  </si>
  <si>
    <t>Hip Joint Stainless Steel</t>
  </si>
  <si>
    <t xml:space="preserve">Hip Joint Titanium </t>
  </si>
  <si>
    <t xml:space="preserve">Silicone Sleeve S01-M01-L01-XL1 </t>
  </si>
  <si>
    <t>Prosthesis Vesting Case M</t>
  </si>
  <si>
    <t>Below Knee Stump Stockings with Hole</t>
  </si>
  <si>
    <t>Below Knee Stump Stockings</t>
  </si>
  <si>
    <t>Below Knee Foam 34 mm</t>
  </si>
  <si>
    <t>Below Knee Cube Foam 34 mm</t>
  </si>
  <si>
    <t xml:space="preserve">Above Knee Foam </t>
  </si>
  <si>
    <t>Metal Valve Set</t>
  </si>
  <si>
    <t>Valf</t>
  </si>
  <si>
    <t>Thermo Papers</t>
  </si>
  <si>
    <t>COMSUMABLES</t>
  </si>
  <si>
    <t>Perlon Stockinette 8 cm
Perlon Stockinette 10 cm</t>
  </si>
  <si>
    <t>Perlon Stockinette 12 cm</t>
  </si>
  <si>
    <t>Perlon Stockinette 15 cm</t>
  </si>
  <si>
    <t>Perlon Stockinette 20 cm</t>
  </si>
  <si>
    <t>PVA Lamination Bag</t>
  </si>
  <si>
    <t>Pin Lock System</t>
  </si>
  <si>
    <t>Pin Lock System Receiver</t>
  </si>
  <si>
    <t>Dynamic Foot &amp;
Sach/Dynamic Foot Adapters-Stainless Steel</t>
  </si>
  <si>
    <t xml:space="preserve">Adapter Tube Long 34 mm Titanium </t>
  </si>
  <si>
    <t>Lamination Anchor Receiver Titanium (Prongless)</t>
  </si>
  <si>
    <t>Wooden Connection Plate</t>
  </si>
  <si>
    <t>Rotatable Socket Adapter Pyramid</t>
  </si>
  <si>
    <t>Adapter Tube Short 30 mm Stainless Steel</t>
  </si>
  <si>
    <t>Tube Adapter 30 mm Stainless Steel</t>
  </si>
  <si>
    <t>4 Hole Two Axis 5mm Offset Socket Adapter</t>
  </si>
  <si>
    <t>Fixed Lamination Anchor 4 Prongs</t>
  </si>
  <si>
    <t>Lamination Anchor</t>
  </si>
  <si>
    <t>Below Knee Cube Foam</t>
  </si>
  <si>
    <t>Perlon Stockinette 6 cm</t>
  </si>
  <si>
    <t>Perlon Stockinette 8 cm</t>
  </si>
  <si>
    <t>Perlon Stockinette 10 cm</t>
  </si>
  <si>
    <t>Perlon Stockinette 25 cm</t>
  </si>
  <si>
    <t>Pneumatic Monocentric Knee Joint</t>
  </si>
  <si>
    <t>Double Adapters Receiver 32 mm</t>
  </si>
  <si>
    <t>Double Adapters Receiver 40 mm</t>
  </si>
  <si>
    <t>Double Adapters Receiver 60 mm</t>
  </si>
  <si>
    <t>Double Adapters Receiver 80 mm</t>
  </si>
  <si>
    <t>Adapter Tube Long 34 mm Stainless Steel</t>
  </si>
  <si>
    <t>Adapter Tube Long 30 mm Stainless Steel</t>
  </si>
  <si>
    <t>Above Knee Stump Stockings</t>
  </si>
  <si>
    <t>Adapter Tube Short 34 mm Stainless Steel</t>
  </si>
  <si>
    <t>Tube Adapter 34 mm Titanium</t>
  </si>
  <si>
    <t xml:space="preserve">Pyramid-Receiver Double Adapter </t>
  </si>
  <si>
    <t>Lamination Anchor Receiver Stainless Steel (Prongless)</t>
  </si>
  <si>
    <t>Tube Clamp Adapter, Contoured 10°, 30 mm Titanium</t>
  </si>
  <si>
    <t>Double Sliding Tube Adapter Titanium 60 mm</t>
  </si>
  <si>
    <t>Double Sliding Tube Adapter Aluminium 75 mm</t>
  </si>
  <si>
    <t>Orthesis Ankle Joint</t>
  </si>
  <si>
    <t>ORTHOTICS</t>
  </si>
  <si>
    <t>Orthotic Alignment Aid Device</t>
  </si>
  <si>
    <t xml:space="preserve">Hip Joint </t>
  </si>
  <si>
    <t>Sach / Dynamıc Foot Connectıon Plate</t>
  </si>
  <si>
    <t>Fixed Lamination Anchor for Children Stainless Steel</t>
  </si>
  <si>
    <t>Monocentric Springy Knee Joint with Lock</t>
  </si>
  <si>
    <t xml:space="preserve"> Hydraulic Polycentric Disarticulation Knee Joint</t>
  </si>
  <si>
    <t>Polycentric Disarticulation Knee Joint</t>
  </si>
  <si>
    <t>Polycentric Knee Joint with Lock</t>
  </si>
  <si>
    <t>Monocentric Knee Joint with Lock</t>
  </si>
  <si>
    <t xml:space="preserve">Foot for Children </t>
  </si>
  <si>
    <t>Sach/Dynamic Foot Adapters for Children Stainless Steel</t>
  </si>
  <si>
    <t>Pin Lock System for Children</t>
  </si>
  <si>
    <t>Single Axis Foot</t>
  </si>
  <si>
    <t>Sach/Dynamic Foot Adapters M10 Stainless Steel</t>
  </si>
  <si>
    <t>Sach/Dynamic Foot Adapters M10 Aluminium</t>
  </si>
  <si>
    <t>Rotatable Lamination Anchor Receiver 3 Prongs</t>
  </si>
  <si>
    <t>TROYA Hydraulic Monocentric Knee Joint</t>
  </si>
  <si>
    <t>Mechanical Hand Right 7 1/4</t>
  </si>
  <si>
    <t>Mechanical Hand Left 7 1/4</t>
  </si>
  <si>
    <t>Mechanical Hand Left</t>
  </si>
  <si>
    <t>Mechanical Hand Right</t>
  </si>
  <si>
    <t>Modular Elbow Joint 4L</t>
  </si>
  <si>
    <t>Modular Elbow Joint 2L</t>
  </si>
  <si>
    <t>Automatic Elbow  Joint</t>
  </si>
  <si>
    <t>Passive Hand Right 7 1/4</t>
  </si>
  <si>
    <t>Passive Hand Left 7 1/4</t>
  </si>
  <si>
    <t>Passive Hand Left 7 3/4</t>
  </si>
  <si>
    <t>Passive Hand Right7 3/4</t>
  </si>
  <si>
    <t>Passive Hand Right</t>
  </si>
  <si>
    <t>Passive Hand Left</t>
  </si>
  <si>
    <t xml:space="preserve">Silicone Cosmetic Glove </t>
  </si>
  <si>
    <t xml:space="preserve">Cosmetic Glove </t>
  </si>
  <si>
    <t>File Connector</t>
  </si>
  <si>
    <t>Plaster File Half Round</t>
  </si>
  <si>
    <t>Plaster Flat</t>
  </si>
  <si>
    <t>Surform Round Rasp</t>
  </si>
  <si>
    <t>Plaster File Round</t>
  </si>
  <si>
    <t>Adapter Tube Long 30 mm Aluminium</t>
  </si>
  <si>
    <t>Adapter Tube Short 30 mm Aluminium</t>
  </si>
  <si>
    <t>Tube Adapter ø 30 mm Aluminium</t>
  </si>
  <si>
    <t>Tube Adapter 30 mm Titanium</t>
  </si>
  <si>
    <t>Tube Clamp Adapter Contoured 20°</t>
  </si>
  <si>
    <t>Silikon Liner</t>
  </si>
  <si>
    <t>Hyraulıc Monocentrıc Hıp Joınt</t>
  </si>
  <si>
    <t>Valve Set</t>
  </si>
  <si>
    <t xml:space="preserve">Tube Adapter- 5 mm Offset </t>
  </si>
  <si>
    <t>Pyramid Offsetting Rotating Adapter (12.6 mm)</t>
  </si>
  <si>
    <t>Pyramid Receiver Offset Rotating Adapter (12.3 mm)</t>
  </si>
  <si>
    <t>Rotatable Sliding Adapter Receiver</t>
  </si>
  <si>
    <t>Rotatable Sliding Adapter Pyramid</t>
  </si>
  <si>
    <t>Sliding Adjustment Adapter Receiver</t>
  </si>
  <si>
    <t xml:space="preserve">Extension Adapter </t>
  </si>
  <si>
    <t xml:space="preserve">Extension Adapter Aluminium </t>
  </si>
  <si>
    <t>wheelchair</t>
  </si>
  <si>
    <t>HEARING AIDS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</si>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</sst>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\₹#,##0"/>
    <numFmt numFmtId="165" formatCode="dd\-mmm\-yyyy"/>
    <numFmt numFmtId="166" formatCode="\₹#,##0;&quot;(₹&quot;#,##0\);\-"/>
    <numFmt numFmtId="167" formatCode="\$#,##0.00"/>
    <numFmt numFmtId="168" formatCode="\$#,##0;&quot;($&quot;#,##0\);\-"/>
  </numFmts>
  <fonts count="2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</font>
    <font>
      <i/>
      <sz val="9"/>
      <color rgb="FF1B3A6B"/>
      <name val="Calibri"/>
      <family val="2"/>
    </font>
    <font>
      <b/>
      <sz val="11"/>
      <color rgb="FFFFFFFF"/>
      <name val="Calibri"/>
      <family val="2"/>
    </font>
    <font>
      <b/>
      <sz val="8"/>
      <color rgb="FF5A6475"/>
      <name val="Calibri"/>
      <family val="2"/>
    </font>
    <font>
      <b/>
      <sz val="32"/>
      <color rgb="FF1B3A6B"/>
      <name val="Calibri"/>
      <family val="2"/>
    </font>
    <font>
      <b/>
      <sz val="32"/>
      <color rgb="FF2C6FAC"/>
      <name val="Calibri"/>
      <family val="2"/>
    </font>
    <font>
      <b/>
      <sz val="22"/>
      <color rgb="FF2E8B6F"/>
      <name val="Calibri"/>
      <family val="2"/>
    </font>
    <font>
      <b/>
      <sz val="32"/>
      <color rgb="FFC47A2B"/>
      <name val="Calibri"/>
      <family val="2"/>
    </font>
    <font>
      <b/>
      <sz val="9"/>
      <color rgb="FFFFFFFF"/>
      <name val="Calibri"/>
      <family val="2"/>
    </font>
    <font>
      <sz val="10"/>
      <color rgb="FF1B3A6B"/>
      <name val="Calibri"/>
      <family val="2"/>
    </font>
    <font>
      <i/>
      <sz val="8"/>
      <color rgb="FF5A6475"/>
      <name val="Calibri"/>
      <family val="2"/>
    </font>
    <font>
      <sz val="40"/>
      <color theme="1"/>
      <name val="Calibri"/>
      <family val="2"/>
      <charset val="1"/>
    </font>
    <font>
      <b/>
      <sz val="17"/>
      <color rgb="FFFFFFFF"/>
      <name val="Calibri"/>
      <family val="2"/>
    </font>
    <font>
      <sz val="11"/>
      <color rgb="FF1B3A6B"/>
      <name val="Calibri"/>
      <family val="2"/>
    </font>
    <font>
      <b/>
      <sz val="10"/>
      <color rgb="FFFFFFFF"/>
      <name val="Calibri"/>
      <family val="2"/>
    </font>
    <font>
      <sz val="11"/>
      <name val="Cambria"/>
      <family val="1"/>
    </font>
    <font>
      <b/>
      <sz val="10"/>
      <color rgb="FF1B3A6B"/>
      <name val="Calibri"/>
      <family val="2"/>
    </font>
    <font>
      <b/>
      <sz val="14"/>
      <color rgb="FFFFFFFF"/>
      <name val="Arial"/>
      <family val="2"/>
      <charset val="1"/>
    </font>
    <font>
      <b/>
      <sz val="10"/>
      <color rgb="FF1B2A4A"/>
      <name val="Arial"/>
      <family val="2"/>
      <charset val="1"/>
    </font>
    <font>
      <sz val="10"/>
      <color rgb="FF0000FF"/>
      <name val="Arial"/>
      <family val="2"/>
      <charset val="1"/>
    </font>
    <font>
      <i/>
      <sz val="9"/>
      <color rgb="FF777777"/>
      <name val="Arial"/>
      <family val="2"/>
      <charset val="1"/>
    </font>
    <font>
      <u/>
      <sz val="11"/>
      <color theme="10"/>
      <name val="Calibri"/>
      <family val="2"/>
      <charset val="1"/>
    </font>
    <font>
      <i/>
      <sz val="11"/>
      <color rgb="FF1B3A6B"/>
      <name val="Calibri"/>
      <family val="2"/>
    </font>
    <font>
      <sz val="8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B2A4A"/>
      </patternFill>
    </fill>
    <fill>
      <patternFill patternType="solid">
        <fgColor rgb="FFFDF6E3"/>
        <bgColor rgb="FFFFF3CD"/>
      </patternFill>
    </fill>
    <fill>
      <patternFill patternType="solid">
        <fgColor rgb="FFB5871A"/>
        <bgColor rgb="FFC47A2B"/>
      </patternFill>
    </fill>
    <fill>
      <patternFill patternType="solid">
        <fgColor rgb="FF2A4E8A"/>
        <bgColor rgb="FF2D4E9E"/>
      </patternFill>
    </fill>
    <fill>
      <patternFill patternType="solid">
        <fgColor rgb="FFE8ECF2"/>
        <bgColor rgb="FFEEF1F6"/>
      </patternFill>
    </fill>
    <fill>
      <patternFill patternType="solid">
        <fgColor rgb="FFF9FAFB"/>
        <bgColor rgb="FFFFFFFF"/>
      </patternFill>
    </fill>
    <fill>
      <patternFill patternType="solid">
        <fgColor rgb="FFFFFFFF"/>
        <bgColor rgb="FFF9FAFB"/>
      </patternFill>
    </fill>
    <fill>
      <patternFill patternType="solid">
        <fgColor rgb="FF2D4E9E"/>
        <bgColor rgb="FF2A4E8A"/>
      </patternFill>
    </fill>
    <fill>
      <patternFill patternType="solid">
        <fgColor rgb="FFEEF1F6"/>
        <bgColor rgb="FFE8ECF2"/>
      </patternFill>
    </fill>
    <fill>
      <patternFill patternType="solid">
        <fgColor rgb="FFD4EDDA"/>
        <bgColor rgb="FFD6E4F0"/>
      </patternFill>
    </fill>
    <fill>
      <patternFill patternType="solid">
        <fgColor rgb="FFCCE5FF"/>
        <bgColor rgb="FFD6E4F0"/>
      </patternFill>
    </fill>
    <fill>
      <patternFill patternType="solid">
        <fgColor rgb="FFF8D7DA"/>
        <bgColor rgb="FFD9D9D9"/>
      </patternFill>
    </fill>
    <fill>
      <patternFill patternType="solid">
        <fgColor rgb="FFFFF3CD"/>
        <bgColor rgb="FFFDF6E3"/>
      </patternFill>
    </fill>
    <fill>
      <patternFill patternType="solid">
        <fgColor rgb="FF1B2A4A"/>
        <bgColor rgb="FF1B3A6B"/>
      </patternFill>
    </fill>
    <fill>
      <patternFill patternType="solid">
        <fgColor rgb="FFD6E4F0"/>
        <bgColor rgb="FFCCE5FF"/>
      </patternFill>
    </fill>
  </fills>
  <borders count="15">
    <border>
      <left/>
      <right/>
      <top/>
      <bottom/>
      <diagonal/>
    </border>
    <border>
      <left style="medium">
        <color rgb="FF1B3A6B"/>
      </left>
      <right/>
      <top/>
      <bottom/>
      <diagonal/>
    </border>
    <border>
      <left style="medium">
        <color rgb="FF2C6FAC"/>
      </left>
      <right/>
      <top/>
      <bottom/>
      <diagonal/>
    </border>
    <border>
      <left style="medium">
        <color rgb="FF2E8B6F"/>
      </left>
      <right/>
      <top/>
      <bottom/>
      <diagonal/>
    </border>
    <border>
      <left style="medium">
        <color rgb="FFC47A2B"/>
      </left>
      <right/>
      <top/>
      <bottom/>
      <diagonal/>
    </border>
    <border>
      <left style="medium">
        <color rgb="FF1B3A6B"/>
      </left>
      <right/>
      <top/>
      <bottom style="thin">
        <color rgb="FFD0D5DD"/>
      </bottom>
      <diagonal/>
    </border>
    <border>
      <left style="medium">
        <color rgb="FF2C6FAC"/>
      </left>
      <right/>
      <top/>
      <bottom style="thin">
        <color rgb="FFD0D5DD"/>
      </bottom>
      <diagonal/>
    </border>
    <border>
      <left style="medium">
        <color rgb="FF2E8B6F"/>
      </left>
      <right/>
      <top/>
      <bottom style="thin">
        <color rgb="FFD0D5DD"/>
      </bottom>
      <diagonal/>
    </border>
    <border>
      <left style="medium">
        <color rgb="FFC47A2B"/>
      </left>
      <right/>
      <top/>
      <bottom style="thin">
        <color rgb="FFD0D5DD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79">
    <xf numFmtId="0" fontId="0" fillId="0" borderId="0" xfId="0"/>
    <xf numFmtId="0" fontId="0" fillId="7" borderId="0" xfId="0" applyFill="1"/>
    <xf numFmtId="0" fontId="10" fillId="2" borderId="9" xfId="0" applyFont="1" applyFill="1" applyBorder="1" applyAlignment="1">
      <alignment horizontal="center" vertical="center" wrapText="1"/>
    </xf>
    <xf numFmtId="0" fontId="11" fillId="10" borderId="10" xfId="0" applyFont="1" applyFill="1" applyBorder="1" applyAlignment="1">
      <alignment horizontal="left" vertical="center"/>
    </xf>
    <xf numFmtId="164" fontId="11" fillId="10" borderId="10" xfId="0" applyNumberFormat="1" applyFont="1" applyFill="1" applyBorder="1" applyAlignment="1">
      <alignment horizontal="left" vertical="center"/>
    </xf>
    <xf numFmtId="0" fontId="11" fillId="8" borderId="10" xfId="0" applyFont="1" applyFill="1" applyBorder="1" applyAlignment="1">
      <alignment horizontal="left" vertical="center"/>
    </xf>
    <xf numFmtId="164" fontId="11" fillId="8" borderId="10" xfId="0" applyNumberFormat="1" applyFont="1" applyFill="1" applyBorder="1" applyAlignment="1">
      <alignment horizontal="left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4" fillId="5" borderId="9" xfId="0" applyFont="1" applyFill="1" applyBorder="1" applyAlignment="1">
      <alignment horizontal="center" vertical="center" wrapText="1"/>
    </xf>
    <xf numFmtId="0" fontId="15" fillId="10" borderId="10" xfId="0" applyFont="1" applyFill="1" applyBorder="1" applyAlignment="1">
      <alignment horizontal="left" vertical="center" wrapText="1"/>
    </xf>
    <xf numFmtId="165" fontId="15" fillId="10" borderId="10" xfId="0" applyNumberFormat="1" applyFont="1" applyFill="1" applyBorder="1" applyAlignment="1">
      <alignment horizontal="left" vertical="center" wrapText="1"/>
    </xf>
    <xf numFmtId="166" fontId="15" fillId="10" borderId="10" xfId="0" applyNumberFormat="1" applyFont="1" applyFill="1" applyBorder="1" applyAlignment="1">
      <alignment horizontal="left" vertical="center" wrapText="1"/>
    </xf>
    <xf numFmtId="167" fontId="15" fillId="10" borderId="10" xfId="0" applyNumberFormat="1" applyFont="1" applyFill="1" applyBorder="1" applyAlignment="1">
      <alignment horizontal="left" vertical="center" wrapText="1"/>
    </xf>
    <xf numFmtId="0" fontId="15" fillId="11" borderId="10" xfId="0" applyFont="1" applyFill="1" applyBorder="1" applyAlignment="1">
      <alignment horizontal="left" vertical="center" wrapText="1"/>
    </xf>
    <xf numFmtId="49" fontId="15" fillId="10" borderId="10" xfId="0" applyNumberFormat="1" applyFont="1" applyFill="1" applyBorder="1" applyAlignment="1">
      <alignment horizontal="left" vertical="center" wrapText="1"/>
    </xf>
    <xf numFmtId="0" fontId="15" fillId="8" borderId="10" xfId="0" applyFont="1" applyFill="1" applyBorder="1" applyAlignment="1">
      <alignment horizontal="left" vertical="center" wrapText="1"/>
    </xf>
    <xf numFmtId="165" fontId="15" fillId="8" borderId="10" xfId="0" applyNumberFormat="1" applyFont="1" applyFill="1" applyBorder="1" applyAlignment="1">
      <alignment horizontal="left" vertical="center" wrapText="1"/>
    </xf>
    <xf numFmtId="166" fontId="15" fillId="8" borderId="10" xfId="0" applyNumberFormat="1" applyFont="1" applyFill="1" applyBorder="1" applyAlignment="1">
      <alignment horizontal="left" vertical="center" wrapText="1"/>
    </xf>
    <xf numFmtId="167" fontId="15" fillId="8" borderId="10" xfId="0" applyNumberFormat="1" applyFont="1" applyFill="1" applyBorder="1" applyAlignment="1">
      <alignment horizontal="left" vertical="center" wrapText="1"/>
    </xf>
    <xf numFmtId="0" fontId="15" fillId="12" borderId="10" xfId="0" applyFont="1" applyFill="1" applyBorder="1" applyAlignment="1">
      <alignment horizontal="left" vertical="center" wrapText="1"/>
    </xf>
    <xf numFmtId="49" fontId="15" fillId="8" borderId="10" xfId="0" applyNumberFormat="1" applyFont="1" applyFill="1" applyBorder="1" applyAlignment="1">
      <alignment horizontal="left" vertical="center" wrapText="1"/>
    </xf>
    <xf numFmtId="0" fontId="15" fillId="13" borderId="10" xfId="0" applyFont="1" applyFill="1" applyBorder="1" applyAlignment="1">
      <alignment horizontal="left" vertical="center" wrapText="1"/>
    </xf>
    <xf numFmtId="0" fontId="15" fillId="14" borderId="10" xfId="0" applyFont="1" applyFill="1" applyBorder="1" applyAlignment="1">
      <alignment horizontal="left" vertical="center" wrapText="1"/>
    </xf>
    <xf numFmtId="167" fontId="0" fillId="0" borderId="0" xfId="0" applyNumberFormat="1"/>
    <xf numFmtId="0" fontId="17" fillId="0" borderId="0" xfId="0" applyFont="1"/>
    <xf numFmtId="0" fontId="10" fillId="5" borderId="9" xfId="0" applyFont="1" applyFill="1" applyBorder="1" applyAlignment="1">
      <alignment horizontal="center" vertical="center" wrapText="1"/>
    </xf>
    <xf numFmtId="0" fontId="11" fillId="8" borderId="10" xfId="0" applyFont="1" applyFill="1" applyBorder="1" applyAlignment="1">
      <alignment horizontal="center" vertical="center"/>
    </xf>
    <xf numFmtId="164" fontId="11" fillId="8" borderId="10" xfId="0" applyNumberFormat="1" applyFont="1" applyFill="1" applyBorder="1" applyAlignment="1">
      <alignment horizontal="right" vertical="center"/>
    </xf>
    <xf numFmtId="0" fontId="11" fillId="10" borderId="10" xfId="0" applyFont="1" applyFill="1" applyBorder="1" applyAlignment="1">
      <alignment horizontal="center" vertical="center"/>
    </xf>
    <xf numFmtId="164" fontId="11" fillId="10" borderId="10" xfId="0" applyNumberFormat="1" applyFont="1" applyFill="1" applyBorder="1" applyAlignment="1">
      <alignment horizontal="right" vertical="center"/>
    </xf>
    <xf numFmtId="0" fontId="18" fillId="10" borderId="10" xfId="0" applyFont="1" applyFill="1" applyBorder="1" applyAlignment="1">
      <alignment horizontal="left" vertical="center"/>
    </xf>
    <xf numFmtId="0" fontId="18" fillId="10" borderId="10" xfId="0" applyFont="1" applyFill="1" applyBorder="1" applyAlignment="1">
      <alignment horizontal="center" vertical="center"/>
    </xf>
    <xf numFmtId="0" fontId="18" fillId="8" borderId="10" xfId="0" applyFont="1" applyFill="1" applyBorder="1" applyAlignment="1">
      <alignment horizontal="left" vertical="center"/>
    </xf>
    <xf numFmtId="164" fontId="18" fillId="8" borderId="10" xfId="0" applyNumberFormat="1" applyFont="1" applyFill="1" applyBorder="1" applyAlignment="1">
      <alignment horizontal="right" vertical="center"/>
    </xf>
    <xf numFmtId="166" fontId="17" fillId="0" borderId="0" xfId="0" applyNumberFormat="1" applyFont="1"/>
    <xf numFmtId="168" fontId="11" fillId="10" borderId="10" xfId="0" applyNumberFormat="1" applyFont="1" applyFill="1" applyBorder="1" applyAlignment="1">
      <alignment horizontal="left" vertical="center"/>
    </xf>
    <xf numFmtId="168" fontId="17" fillId="0" borderId="0" xfId="0" applyNumberFormat="1" applyFont="1"/>
    <xf numFmtId="168" fontId="11" fillId="8" borderId="10" xfId="0" applyNumberFormat="1" applyFont="1" applyFill="1" applyBorder="1" applyAlignment="1">
      <alignment horizontal="left" vertical="center"/>
    </xf>
    <xf numFmtId="0" fontId="18" fillId="8" borderId="10" xfId="0" applyFont="1" applyFill="1" applyBorder="1" applyAlignment="1">
      <alignment horizontal="center" vertical="center"/>
    </xf>
    <xf numFmtId="168" fontId="18" fillId="8" borderId="10" xfId="0" applyNumberFormat="1" applyFont="1" applyFill="1" applyBorder="1" applyAlignment="1">
      <alignment horizontal="left" vertical="center"/>
    </xf>
    <xf numFmtId="0" fontId="20" fillId="16" borderId="11" xfId="0" applyFont="1" applyFill="1" applyBorder="1"/>
    <xf numFmtId="0" fontId="21" fillId="14" borderId="11" xfId="0" applyFont="1" applyFill="1" applyBorder="1"/>
    <xf numFmtId="0" fontId="22" fillId="0" borderId="11" xfId="0" applyFont="1" applyBorder="1"/>
    <xf numFmtId="0" fontId="23" fillId="10" borderId="10" xfId="1" applyFill="1" applyBorder="1" applyAlignment="1">
      <alignment horizontal="left" vertical="center" wrapText="1"/>
    </xf>
    <xf numFmtId="0" fontId="15" fillId="10" borderId="10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vertical="center"/>
    </xf>
    <xf numFmtId="0" fontId="15" fillId="10" borderId="12" xfId="0" applyFont="1" applyFill="1" applyBorder="1" applyAlignment="1">
      <alignment horizontal="center" vertical="center" wrapText="1"/>
    </xf>
    <xf numFmtId="0" fontId="15" fillId="10" borderId="13" xfId="0" applyFont="1" applyFill="1" applyBorder="1" applyAlignment="1">
      <alignment horizontal="center" vertical="center" wrapText="1"/>
    </xf>
    <xf numFmtId="0" fontId="15" fillId="10" borderId="14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24" fillId="3" borderId="0" xfId="0" applyFont="1" applyFill="1" applyAlignment="1">
      <alignment horizontal="center" vertical="center"/>
    </xf>
    <xf numFmtId="0" fontId="15" fillId="8" borderId="12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0" fontId="15" fillId="8" borderId="1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4" borderId="0" xfId="0" applyFill="1"/>
    <xf numFmtId="0" fontId="4" fillId="5" borderId="0" xfId="0" applyFont="1" applyFill="1" applyAlignment="1">
      <alignment horizontal="left" vertical="center"/>
    </xf>
    <xf numFmtId="0" fontId="0" fillId="6" borderId="0" xfId="0" applyFill="1"/>
    <xf numFmtId="0" fontId="5" fillId="8" borderId="1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5" fillId="8" borderId="3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64" fontId="8" fillId="8" borderId="3" xfId="0" applyNumberFormat="1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/>
    <xf numFmtId="0" fontId="0" fillId="8" borderId="8" xfId="0" applyFill="1" applyBorder="1"/>
    <xf numFmtId="0" fontId="10" fillId="5" borderId="0" xfId="0" applyFont="1" applyFill="1" applyAlignment="1">
      <alignment horizontal="left" vertical="center"/>
    </xf>
    <xf numFmtId="0" fontId="10" fillId="9" borderId="0" xfId="0" applyFont="1" applyFill="1" applyAlignment="1">
      <alignment horizontal="left" vertical="center"/>
    </xf>
    <xf numFmtId="0" fontId="0" fillId="8" borderId="0" xfId="0" applyFill="1"/>
    <xf numFmtId="0" fontId="12" fillId="7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19" fillId="15" borderId="0" xfId="0" applyFont="1" applyFill="1" applyAlignment="1">
      <alignment horizontal="center" vertical="center"/>
    </xf>
  </cellXfs>
  <cellStyles count="4">
    <cellStyle name="Currency 2" xfId="3" xr:uid="{E313AEB3-DC74-48D4-BBF9-03801A0E48B8}"/>
    <cellStyle name="Hyperlink" xfId="1" builtinId="8"/>
    <cellStyle name="Normal" xfId="0" builtinId="0"/>
    <cellStyle name="Normal 2" xfId="2" xr:uid="{EDF26CC6-E8DB-4891-9579-8655B8D8E2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FAFB"/>
      <rgbColor rgb="FFFF00FF"/>
      <rgbColor rgb="FF00FFFF"/>
      <rgbColor rgb="FF800000"/>
      <rgbColor rgb="FF008000"/>
      <rgbColor rgb="FF000080"/>
      <rgbColor rgb="FFB5871A"/>
      <rgbColor rgb="FF800080"/>
      <rgbColor rgb="FF2A4E8A"/>
      <rgbColor rgb="FFCCCCCC"/>
      <rgbColor rgb="FF777777"/>
      <rgbColor rgb="FF9999FF"/>
      <rgbColor rgb="FFB03A3A"/>
      <rgbColor rgb="FFFFF3CD"/>
      <rgbColor rgb="FFCCE5FF"/>
      <rgbColor rgb="FF660066"/>
      <rgbColor rgb="FFFF8080"/>
      <rgbColor rgb="FF2C6FA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CF2"/>
      <rgbColor rgb="FFD4EDDA"/>
      <rgbColor rgb="FFFDF6E3"/>
      <rgbColor rgb="FFD6E4F0"/>
      <rgbColor rgb="FFEEF1F6"/>
      <rgbColor rgb="FFD9D9D9"/>
      <rgbColor rgb="FFF8D7DA"/>
      <rgbColor rgb="FF4F81BD"/>
      <rgbColor rgb="FF33CCCC"/>
      <rgbColor rgb="FF99CC00"/>
      <rgbColor rgb="FFFFCC00"/>
      <rgbColor rgb="FFFF9900"/>
      <rgbColor rgb="FFC47A2B"/>
      <rgbColor rgb="FF5A6475"/>
      <rgbColor rgb="FFB3B3B3"/>
      <rgbColor rgb="FF1B3A6B"/>
      <rgbColor rgb="FF2E8B6F"/>
      <rgbColor rgb="FF003300"/>
      <rgbColor rgb="FF333300"/>
      <rgbColor rgb="FF993300"/>
      <rgbColor rgb="FF7B4FA6"/>
      <rgbColor rgb="FF2D4E9E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2C6FAC"/>
            </a:solidFill>
            <a:ln w="0">
              <a:solidFill>
                <a:srgbClr val="2C6FAC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Summary!$A$12:$A$16</c:f>
              <c:strCache>
                <c:ptCount val="5"/>
                <c:pt idx="0">
                  <c:v>Reply to be Given</c:v>
                </c:pt>
                <c:pt idx="1">
                  <c:v>No Reply</c:v>
                </c:pt>
                <c:pt idx="2">
                  <c:v>Interested</c:v>
                </c:pt>
                <c:pt idx="3">
                  <c:v>Not Interested</c:v>
                </c:pt>
                <c:pt idx="4">
                  <c:v>Negotiating</c:v>
                </c:pt>
              </c:strCache>
            </c:strRef>
          </c:cat>
          <c:val>
            <c:numRef>
              <c:f>Summary!$B$12:$B$16</c:f>
              <c:numCache>
                <c:formatCode>General</c:formatCode>
                <c:ptCount val="5"/>
                <c:pt idx="0">
                  <c:v>168</c:v>
                </c:pt>
                <c:pt idx="1">
                  <c:v>0</c:v>
                </c:pt>
                <c:pt idx="2">
                  <c:v>14</c:v>
                </c:pt>
                <c:pt idx="3">
                  <c:v>11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F-4FC5-8571-AB0BF0DA0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9610"/>
        <c:axId val="46705751"/>
      </c:barChart>
      <c:catAx>
        <c:axId val="51496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705751"/>
        <c:crosses val="autoZero"/>
        <c:auto val="1"/>
        <c:lblAlgn val="ctr"/>
        <c:lblOffset val="100"/>
        <c:noMultiLvlLbl val="0"/>
      </c:catAx>
      <c:valAx>
        <c:axId val="4670575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496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C6FA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E8B-4BC9-8412-6554E637D710}"/>
              </c:ext>
            </c:extLst>
          </c:dPt>
          <c:dPt>
            <c:idx val="1"/>
            <c:bubble3D val="0"/>
            <c:spPr>
              <a:solidFill>
                <a:srgbClr val="2E8B6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E8B-4BC9-8412-6554E637D710}"/>
              </c:ext>
            </c:extLst>
          </c:dPt>
          <c:dPt>
            <c:idx val="2"/>
            <c:bubble3D val="0"/>
            <c:spPr>
              <a:solidFill>
                <a:srgbClr val="C47A2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E8B-4BC9-8412-6554E637D710}"/>
              </c:ext>
            </c:extLst>
          </c:dPt>
          <c:dPt>
            <c:idx val="3"/>
            <c:bubble3D val="0"/>
            <c:spPr>
              <a:solidFill>
                <a:srgbClr val="7B4FA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3E8B-4BC9-8412-6554E637D710}"/>
              </c:ext>
            </c:extLst>
          </c:dPt>
          <c:dPt>
            <c:idx val="4"/>
            <c:bubble3D val="0"/>
            <c:spPr>
              <a:solidFill>
                <a:srgbClr val="B03A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3E8B-4BC9-8412-6554E637D71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8B-4BC9-8412-6554E637D71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8B-4BC9-8412-6554E637D71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8B-4BC9-8412-6554E637D710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8B-4BC9-8412-6554E637D710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8B-4BC9-8412-6554E637D7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Summary!$A$3:$A$7</c:f>
              <c:strCache>
                <c:ptCount val="5"/>
                <c:pt idx="0">
                  <c:v>Email</c:v>
                </c:pt>
                <c:pt idx="1">
                  <c:v>Referral</c:v>
                </c:pt>
                <c:pt idx="2">
                  <c:v>Exhibition</c:v>
                </c:pt>
                <c:pt idx="3">
                  <c:v>ITEC</c:v>
                </c:pt>
                <c:pt idx="4">
                  <c:v>Eximpedia</c:v>
                </c:pt>
              </c:strCache>
            </c:strRef>
          </c:cat>
          <c:val>
            <c:numRef>
              <c:f>Summary!$B$3:$B$7</c:f>
              <c:numCache>
                <c:formatCode>General</c:formatCode>
                <c:ptCount val="5"/>
                <c:pt idx="0">
                  <c:v>191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8B-4BC9-8412-6554E637D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Summary!$E$2</c:f>
              <c:strCache>
                <c:ptCount val="1"/>
                <c:pt idx="0">
                  <c:v>Leads</c:v>
                </c:pt>
              </c:strCache>
            </c:strRef>
          </c:tx>
          <c:spPr>
            <a:solidFill>
              <a:srgbClr val="2E8B6F"/>
            </a:solidFill>
            <a:ln w="0">
              <a:solidFill>
                <a:srgbClr val="2E8B6F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Summary!$D$3:$D$10</c:f>
              <c:strCache>
                <c:ptCount val="8"/>
                <c:pt idx="0">
                  <c:v>Zambia</c:v>
                </c:pt>
                <c:pt idx="1">
                  <c:v>Nigeria</c:v>
                </c:pt>
                <c:pt idx="2">
                  <c:v>Bangladesh</c:v>
                </c:pt>
                <c:pt idx="3">
                  <c:v>Togo</c:v>
                </c:pt>
                <c:pt idx="4">
                  <c:v>Iraq</c:v>
                </c:pt>
                <c:pt idx="5">
                  <c:v>Mongolia</c:v>
                </c:pt>
                <c:pt idx="6">
                  <c:v>Turkmenistan</c:v>
                </c:pt>
                <c:pt idx="7">
                  <c:v>South Africa</c:v>
                </c:pt>
              </c:strCache>
            </c:strRef>
          </c:cat>
          <c:val>
            <c:numRef>
              <c:f>Summary!$E$3:$E$10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11</c:v>
                </c:pt>
                <c:pt idx="3">
                  <c:v>8</c:v>
                </c:pt>
                <c:pt idx="4">
                  <c:v>1</c:v>
                </c:pt>
                <c:pt idx="5">
                  <c:v>1</c:v>
                </c:pt>
                <c:pt idx="6">
                  <c:v>165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C3-4828-ABBB-A3944C179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440616"/>
        <c:axId val="8937368"/>
      </c:barChart>
      <c:catAx>
        <c:axId val="7944061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37368"/>
        <c:crosses val="autoZero"/>
        <c:auto val="1"/>
        <c:lblAlgn val="ctr"/>
        <c:lblOffset val="100"/>
        <c:noMultiLvlLbl val="0"/>
      </c:catAx>
      <c:valAx>
        <c:axId val="89373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94406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E8B6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3A4-4172-856C-C8B70B653E9A}"/>
              </c:ext>
            </c:extLst>
          </c:dPt>
          <c:dPt>
            <c:idx val="1"/>
            <c:bubble3D val="0"/>
            <c:spPr>
              <a:solidFill>
                <a:srgbClr val="C47A2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3A4-4172-856C-C8B70B653E9A}"/>
              </c:ext>
            </c:extLst>
          </c:dPt>
          <c:dPt>
            <c:idx val="2"/>
            <c:bubble3D val="0"/>
            <c:spPr>
              <a:solidFill>
                <a:srgbClr val="7B4FA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3A4-4172-856C-C8B70B653E9A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A4-4172-856C-C8B70B653E9A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A4-4172-856C-C8B70B653E9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A4-4172-856C-C8B70B653E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Summary!$A$21:$A$23</c:f>
              <c:strCache>
                <c:ptCount val="3"/>
                <c:pt idx="0">
                  <c:v>Product Supply</c:v>
                </c:pt>
                <c:pt idx="1">
                  <c:v>Phased Collaboration</c:v>
                </c:pt>
                <c:pt idx="2">
                  <c:v>TOT and Manufacturing</c:v>
                </c:pt>
              </c:strCache>
            </c:strRef>
          </c:cat>
          <c:val>
            <c:numRef>
              <c:f>Summary!$B$21:$B$23</c:f>
              <c:numCache>
                <c:formatCode>General</c:formatCode>
                <c:ptCount val="3"/>
                <c:pt idx="0">
                  <c:v>188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A4-4172-856C-C8B70B653E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Summary!$H$2</c:f>
              <c:strCache>
                <c:ptCount val="1"/>
                <c:pt idx="0">
                  <c:v>Order (₹)</c:v>
                </c:pt>
              </c:strCache>
            </c:strRef>
          </c:tx>
          <c:spPr>
            <a:solidFill>
              <a:srgbClr val="C47A2B"/>
            </a:solidFill>
            <a:ln w="0">
              <a:solidFill>
                <a:srgbClr val="C47A2B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Summary!$G$3:$G$8</c:f>
              <c:strCache>
                <c:ptCount val="6"/>
                <c:pt idx="0">
                  <c:v>Afrimed Pharmaceutical Ltd.</c:v>
                </c:pt>
                <c:pt idx="1">
                  <c:v>SJS Life Sciences Ltd.</c:v>
                </c:pt>
                <c:pt idx="2">
                  <c:v>Medikit Corporation</c:v>
                </c:pt>
                <c:pt idx="3">
                  <c:v>Kamsitoc Global Trading</c:v>
                </c:pt>
                <c:pt idx="4">
                  <c:v>JMB Pharmaceuticals</c:v>
                </c:pt>
                <c:pt idx="5">
                  <c:v>Tripalogix Pty Ltd</c:v>
                </c:pt>
              </c:strCache>
            </c:strRef>
          </c:cat>
          <c:val>
            <c:numRef>
              <c:f>Summary!$H$3:$H$8</c:f>
              <c:numCache>
                <c:formatCode>\₹#,##0</c:formatCode>
                <c:ptCount val="6"/>
                <c:pt idx="0">
                  <c:v>680256</c:v>
                </c:pt>
                <c:pt idx="1">
                  <c:v>680256</c:v>
                </c:pt>
                <c:pt idx="2">
                  <c:v>687040255</c:v>
                </c:pt>
                <c:pt idx="3">
                  <c:v>360028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9-4557-9A6A-370BC087C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560236"/>
        <c:axId val="32212044"/>
      </c:barChart>
      <c:catAx>
        <c:axId val="7556023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212044"/>
        <c:crosses val="autoZero"/>
        <c:auto val="1"/>
        <c:lblAlgn val="ctr"/>
        <c:lblOffset val="100"/>
        <c:noMultiLvlLbl val="0"/>
      </c:catAx>
      <c:valAx>
        <c:axId val="32212044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₹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5602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868265</xdr:colOff>
      <xdr:row>0</xdr:row>
      <xdr:rowOff>12959</xdr:rowOff>
    </xdr:from>
    <xdr:to>
      <xdr:col>5</xdr:col>
      <xdr:colOff>363273</xdr:colOff>
      <xdr:row>0</xdr:row>
      <xdr:rowOff>507599</xdr:rowOff>
    </xdr:to>
    <xdr:pic>
      <xdr:nvPicPr>
        <xdr:cNvPr id="6" name="Image 1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403979" y="12959"/>
          <a:ext cx="894600" cy="49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4</xdr:col>
      <xdr:colOff>661680</xdr:colOff>
      <xdr:row>30</xdr:row>
      <xdr:rowOff>98280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341924</xdr:colOff>
      <xdr:row>12</xdr:row>
      <xdr:rowOff>183173</xdr:rowOff>
    </xdr:from>
    <xdr:to>
      <xdr:col>9</xdr:col>
      <xdr:colOff>744904</xdr:colOff>
      <xdr:row>31</xdr:row>
      <xdr:rowOff>97692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61057</xdr:colOff>
      <xdr:row>34</xdr:row>
      <xdr:rowOff>61057</xdr:rowOff>
    </xdr:from>
    <xdr:to>
      <xdr:col>7</xdr:col>
      <xdr:colOff>1428750</xdr:colOff>
      <xdr:row>53</xdr:row>
      <xdr:rowOff>158750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708269</xdr:colOff>
      <xdr:row>34</xdr:row>
      <xdr:rowOff>158750</xdr:rowOff>
    </xdr:from>
    <xdr:to>
      <xdr:col>16</xdr:col>
      <xdr:colOff>476249</xdr:colOff>
      <xdr:row>54</xdr:row>
      <xdr:rowOff>24423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-1</xdr:colOff>
      <xdr:row>56</xdr:row>
      <xdr:rowOff>0</xdr:rowOff>
    </xdr:from>
    <xdr:to>
      <xdr:col>8</xdr:col>
      <xdr:colOff>1115540</xdr:colOff>
      <xdr:row>77</xdr:row>
      <xdr:rowOff>51487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9</xdr:col>
      <xdr:colOff>942120</xdr:colOff>
      <xdr:row>0</xdr:row>
      <xdr:rowOff>523080</xdr:rowOff>
    </xdr:to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0995840" y="0"/>
          <a:ext cx="942120" cy="523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kwakujojo.7@gmail.com" TargetMode="External"/><Relationship Id="rId13" Type="http://schemas.openxmlformats.org/officeDocument/2006/relationships/hyperlink" Target="mailto:kwakujojo.7@gmail.com" TargetMode="External"/><Relationship Id="rId3" Type="http://schemas.openxmlformats.org/officeDocument/2006/relationships/hyperlink" Target="mailto:rasarrebwar@gmail.com" TargetMode="External"/><Relationship Id="rId7" Type="http://schemas.openxmlformats.org/officeDocument/2006/relationships/hyperlink" Target="mailto:kwakujojo.7@gmail.com" TargetMode="External"/><Relationship Id="rId12" Type="http://schemas.openxmlformats.org/officeDocument/2006/relationships/hyperlink" Target="mailto:kwakujojo.7@gmail.com" TargetMode="External"/><Relationship Id="rId2" Type="http://schemas.openxmlformats.org/officeDocument/2006/relationships/hyperlink" Target="mailto:kwakujojo.7@gmail.com" TargetMode="External"/><Relationship Id="rId1" Type="http://schemas.openxmlformats.org/officeDocument/2006/relationships/hyperlink" Target="mailto:jkpandey3s@gmail.com" TargetMode="External"/><Relationship Id="rId6" Type="http://schemas.openxmlformats.org/officeDocument/2006/relationships/hyperlink" Target="mailto:gd@metl.net" TargetMode="External"/><Relationship Id="rId11" Type="http://schemas.openxmlformats.org/officeDocument/2006/relationships/hyperlink" Target="mailto:kwakujojo.7@gmail.com" TargetMode="External"/><Relationship Id="rId5" Type="http://schemas.openxmlformats.org/officeDocument/2006/relationships/hyperlink" Target="mailto:md@kamal-group.co.tz" TargetMode="External"/><Relationship Id="rId10" Type="http://schemas.openxmlformats.org/officeDocument/2006/relationships/hyperlink" Target="mailto:kwakujojo.7@gmail.com" TargetMode="External"/><Relationship Id="rId4" Type="http://schemas.openxmlformats.org/officeDocument/2006/relationships/hyperlink" Target="mailto:tripalogix@gmail.com" TargetMode="External"/><Relationship Id="rId9" Type="http://schemas.openxmlformats.org/officeDocument/2006/relationships/hyperlink" Target="mailto:kwakujojo.7@gmail.co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6B"/>
  </sheetPr>
  <dimension ref="A1:V378"/>
  <sheetViews>
    <sheetView showGridLines="0" tabSelected="1" topLeftCell="T1" zoomScale="80" zoomScaleNormal="65" workbookViewId="0">
      <pane ySplit="3" topLeftCell="A153" activePane="bottomLeft" state="frozen"/>
      <selection sqref="A1:K1"/>
      <selection pane="bottomLeft" activeCell="Y155" sqref="Y155"/>
    </sheetView>
  </sheetViews>
  <sheetFormatPr defaultColWidth="13" defaultRowHeight="51" x14ac:dyDescent="1.1000000000000001"/>
  <cols>
    <col min="1" max="1" width="5" style="7" customWidth="1"/>
    <col min="2" max="2" width="26" style="8" customWidth="1"/>
    <col min="3" max="3" width="20" style="8" customWidth="1"/>
    <col min="4" max="4" width="14" style="8" customWidth="1"/>
    <col min="5" max="5" width="20" style="8" customWidth="1"/>
    <col min="6" max="6" width="22" style="8" customWidth="1"/>
    <col min="7" max="7" width="16" style="8" customWidth="1"/>
    <col min="8" max="9" width="14" style="8" customWidth="1"/>
    <col min="10" max="10" width="18" style="8" customWidth="1"/>
    <col min="11" max="11" width="16" style="8" customWidth="1"/>
    <col min="12" max="12" width="26" style="8" customWidth="1"/>
    <col min="13" max="13" width="12.90625" style="8" customWidth="1"/>
    <col min="14" max="14" width="12" style="8" customWidth="1"/>
    <col min="15" max="15" width="9" style="8" customWidth="1"/>
    <col min="16" max="16" width="17" style="8" customWidth="1"/>
    <col min="17" max="17" width="28" style="8" customWidth="1"/>
    <col min="18" max="18" width="13.453125" style="8" customWidth="1"/>
    <col min="19" max="19" width="13" style="8"/>
    <col min="20" max="20" width="73.1796875" style="8" bestFit="1" customWidth="1"/>
    <col min="21" max="21" width="13.453125" style="8" bestFit="1" customWidth="1"/>
    <col min="22" max="22" width="23.26953125" style="8" customWidth="1"/>
    <col min="23" max="16384" width="13" style="8"/>
  </cols>
  <sheetData>
    <row r="1" spans="1:22" ht="49.5" customHeight="1" x14ac:dyDescent="1.1000000000000001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50"/>
      <c r="V1" s="50"/>
    </row>
    <row r="2" spans="1:22" ht="19.5" customHeight="1" x14ac:dyDescent="1.1000000000000001">
      <c r="A2" s="51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</row>
    <row r="3" spans="1:22" ht="30" customHeight="1" x14ac:dyDescent="1.1000000000000001">
      <c r="A3" s="9" t="s">
        <v>21</v>
      </c>
      <c r="B3" s="9" t="s">
        <v>12</v>
      </c>
      <c r="C3" s="9" t="s">
        <v>17</v>
      </c>
      <c r="D3" s="9" t="s">
        <v>22</v>
      </c>
      <c r="E3" s="9" t="s">
        <v>23</v>
      </c>
      <c r="F3" s="9" t="s">
        <v>15</v>
      </c>
      <c r="G3" s="9" t="s">
        <v>24</v>
      </c>
      <c r="H3" s="9" t="s">
        <v>25</v>
      </c>
      <c r="I3" s="9" t="s">
        <v>26</v>
      </c>
      <c r="J3" s="9" t="s">
        <v>14</v>
      </c>
      <c r="K3" s="9" t="s">
        <v>27</v>
      </c>
      <c r="L3" s="9" t="s">
        <v>28</v>
      </c>
      <c r="M3" s="9" t="s">
        <v>13</v>
      </c>
      <c r="N3" s="9" t="s">
        <v>29</v>
      </c>
      <c r="O3" s="9" t="s">
        <v>30</v>
      </c>
      <c r="P3" s="9" t="s">
        <v>31</v>
      </c>
      <c r="Q3" s="9" t="s">
        <v>18</v>
      </c>
      <c r="R3" s="9" t="s">
        <v>32</v>
      </c>
      <c r="S3" s="9" t="s">
        <v>151</v>
      </c>
      <c r="T3" s="9" t="s">
        <v>152</v>
      </c>
      <c r="U3" s="9" t="s">
        <v>178</v>
      </c>
      <c r="V3" s="9" t="s">
        <v>369</v>
      </c>
    </row>
    <row r="4" spans="1:22" x14ac:dyDescent="1.1000000000000001">
      <c r="A4" s="10">
        <v>1</v>
      </c>
      <c r="B4" s="10" t="s">
        <v>33</v>
      </c>
      <c r="C4" s="10" t="s">
        <v>34</v>
      </c>
      <c r="D4" s="11">
        <v>46082</v>
      </c>
      <c r="E4" s="10" t="s">
        <v>35</v>
      </c>
      <c r="F4" s="10" t="s">
        <v>122</v>
      </c>
      <c r="G4" s="12">
        <v>680256</v>
      </c>
      <c r="H4" s="13">
        <f>IF(G4="","",IFERROR(G4/Settings!$B$3,""))</f>
        <v>8503.2000000000007</v>
      </c>
      <c r="I4" s="10" t="s">
        <v>36</v>
      </c>
      <c r="J4" s="14" t="s">
        <v>37</v>
      </c>
      <c r="K4" s="10" t="s">
        <v>38</v>
      </c>
      <c r="L4" s="10" t="s">
        <v>39</v>
      </c>
      <c r="M4" s="10" t="s">
        <v>40</v>
      </c>
      <c r="N4" s="10" t="s">
        <v>41</v>
      </c>
      <c r="O4" s="15" t="s">
        <v>42</v>
      </c>
      <c r="P4" s="15" t="s">
        <v>43</v>
      </c>
      <c r="Q4" s="10" t="s">
        <v>44</v>
      </c>
      <c r="R4" s="11">
        <f ca="1">IF(B4="","",TODAY())</f>
        <v>46163</v>
      </c>
      <c r="S4" s="10" t="s">
        <v>153</v>
      </c>
      <c r="T4" s="10" t="s">
        <v>154</v>
      </c>
      <c r="U4" s="45">
        <v>100</v>
      </c>
      <c r="V4" s="10" t="s">
        <v>189</v>
      </c>
    </row>
    <row r="5" spans="1:22" x14ac:dyDescent="1.1000000000000001">
      <c r="A5" s="16">
        <v>2</v>
      </c>
      <c r="B5" s="16" t="s">
        <v>45</v>
      </c>
      <c r="C5" s="16" t="s">
        <v>46</v>
      </c>
      <c r="D5" s="17">
        <v>46154</v>
      </c>
      <c r="E5" s="16" t="s">
        <v>47</v>
      </c>
      <c r="F5" s="16" t="s">
        <v>122</v>
      </c>
      <c r="G5" s="18">
        <v>680256</v>
      </c>
      <c r="H5" s="19">
        <f>IF(G5="","",IFERROR(G5/Settings!$B$3,""))</f>
        <v>8503.2000000000007</v>
      </c>
      <c r="I5" s="16" t="s">
        <v>36</v>
      </c>
      <c r="J5" s="20" t="s">
        <v>38</v>
      </c>
      <c r="K5" s="16" t="s">
        <v>38</v>
      </c>
      <c r="L5" s="16" t="s">
        <v>48</v>
      </c>
      <c r="M5" s="16" t="s">
        <v>49</v>
      </c>
      <c r="N5" s="16" t="s">
        <v>50</v>
      </c>
      <c r="O5" s="21" t="s">
        <v>51</v>
      </c>
      <c r="P5" s="21" t="s">
        <v>52</v>
      </c>
      <c r="Q5" s="16" t="s">
        <v>44</v>
      </c>
      <c r="R5" s="17">
        <f ca="1">IF(B5="","",TODAY())</f>
        <v>46163</v>
      </c>
      <c r="S5" s="10" t="s">
        <v>155</v>
      </c>
      <c r="T5" s="10" t="s">
        <v>154</v>
      </c>
      <c r="U5" s="45">
        <v>101</v>
      </c>
      <c r="V5" s="10" t="s">
        <v>189</v>
      </c>
    </row>
    <row r="6" spans="1:22" x14ac:dyDescent="1.1000000000000001">
      <c r="A6" s="47">
        <v>3</v>
      </c>
      <c r="B6" s="10" t="s">
        <v>53</v>
      </c>
      <c r="C6" s="10" t="s">
        <v>54</v>
      </c>
      <c r="D6" s="11">
        <v>46119</v>
      </c>
      <c r="E6" s="10" t="s">
        <v>55</v>
      </c>
      <c r="F6" s="10" t="s">
        <v>122</v>
      </c>
      <c r="G6" s="12">
        <v>62458200</v>
      </c>
      <c r="H6" s="13">
        <f>IF(G6="","",IFERROR(G6/Settings!$B$3,""))</f>
        <v>780727.5</v>
      </c>
      <c r="I6" s="10" t="s">
        <v>36</v>
      </c>
      <c r="J6" s="22" t="s">
        <v>56</v>
      </c>
      <c r="K6" s="10" t="s">
        <v>57</v>
      </c>
      <c r="L6" s="10" t="s">
        <v>58</v>
      </c>
      <c r="M6" s="10" t="s">
        <v>59</v>
      </c>
      <c r="N6" s="10" t="s">
        <v>60</v>
      </c>
      <c r="O6" s="15" t="s">
        <v>61</v>
      </c>
      <c r="P6" s="15" t="s">
        <v>52</v>
      </c>
      <c r="Q6" s="10" t="s">
        <v>62</v>
      </c>
      <c r="R6" s="11">
        <f ca="1">IF(B6="","",TODAY())</f>
        <v>46163</v>
      </c>
      <c r="S6" s="10" t="s">
        <v>156</v>
      </c>
      <c r="T6" s="10" t="s">
        <v>157</v>
      </c>
      <c r="U6" s="45">
        <v>8</v>
      </c>
      <c r="V6" s="10" t="s">
        <v>192</v>
      </c>
    </row>
    <row r="7" spans="1:22" ht="21.75" customHeight="1" x14ac:dyDescent="1.1000000000000001">
      <c r="A7" s="48"/>
      <c r="B7" s="10" t="s">
        <v>53</v>
      </c>
      <c r="C7" s="10" t="s">
        <v>54</v>
      </c>
      <c r="D7" s="11">
        <v>46120</v>
      </c>
      <c r="E7" s="10" t="s">
        <v>55</v>
      </c>
      <c r="F7" s="10" t="s">
        <v>122</v>
      </c>
      <c r="G7" s="12">
        <v>62458201</v>
      </c>
      <c r="H7" s="13">
        <f>IF(G7="","",IFERROR(G7/Settings!$B$3,""))</f>
        <v>780727.51249999995</v>
      </c>
      <c r="I7" s="10" t="s">
        <v>36</v>
      </c>
      <c r="J7" s="22" t="s">
        <v>56</v>
      </c>
      <c r="K7" s="10" t="s">
        <v>57</v>
      </c>
      <c r="L7" s="10" t="s">
        <v>58</v>
      </c>
      <c r="M7" s="10" t="s">
        <v>59</v>
      </c>
      <c r="N7" s="10" t="s">
        <v>60</v>
      </c>
      <c r="O7" s="15" t="s">
        <v>179</v>
      </c>
      <c r="P7" s="15" t="s">
        <v>52</v>
      </c>
      <c r="Q7" s="10" t="s">
        <v>62</v>
      </c>
      <c r="R7" s="11">
        <f t="shared" ref="R7:R16" ca="1" si="0">IF(B7="","",TODAY())</f>
        <v>46163</v>
      </c>
      <c r="S7" s="10" t="s">
        <v>158</v>
      </c>
      <c r="T7" s="10" t="s">
        <v>159</v>
      </c>
      <c r="U7" s="45">
        <v>6100</v>
      </c>
      <c r="V7" s="10" t="s">
        <v>193</v>
      </c>
    </row>
    <row r="8" spans="1:22" ht="21.75" customHeight="1" x14ac:dyDescent="1.1000000000000001">
      <c r="A8" s="48"/>
      <c r="B8" s="10" t="s">
        <v>53</v>
      </c>
      <c r="C8" s="10" t="s">
        <v>54</v>
      </c>
      <c r="D8" s="11">
        <v>46121</v>
      </c>
      <c r="E8" s="10" t="s">
        <v>55</v>
      </c>
      <c r="F8" s="10" t="s">
        <v>122</v>
      </c>
      <c r="G8" s="12">
        <v>62458202</v>
      </c>
      <c r="H8" s="13">
        <f>IF(G8="","",IFERROR(G8/Settings!$B$3,""))</f>
        <v>780727.52500000002</v>
      </c>
      <c r="I8" s="10" t="s">
        <v>36</v>
      </c>
      <c r="J8" s="22" t="s">
        <v>56</v>
      </c>
      <c r="K8" s="10" t="s">
        <v>57</v>
      </c>
      <c r="L8" s="10" t="s">
        <v>58</v>
      </c>
      <c r="M8" s="10" t="s">
        <v>59</v>
      </c>
      <c r="N8" s="10" t="s">
        <v>60</v>
      </c>
      <c r="O8" s="15" t="s">
        <v>180</v>
      </c>
      <c r="P8" s="15" t="s">
        <v>52</v>
      </c>
      <c r="Q8" s="10" t="s">
        <v>62</v>
      </c>
      <c r="R8" s="11">
        <f t="shared" ca="1" si="0"/>
        <v>46163</v>
      </c>
      <c r="S8" s="10" t="s">
        <v>160</v>
      </c>
      <c r="T8" s="10" t="s">
        <v>161</v>
      </c>
      <c r="U8" s="45">
        <v>309</v>
      </c>
      <c r="V8" s="10" t="s">
        <v>193</v>
      </c>
    </row>
    <row r="9" spans="1:22" ht="21.75" customHeight="1" x14ac:dyDescent="1.1000000000000001">
      <c r="A9" s="48"/>
      <c r="B9" s="10" t="s">
        <v>53</v>
      </c>
      <c r="C9" s="10" t="s">
        <v>54</v>
      </c>
      <c r="D9" s="11">
        <v>46122</v>
      </c>
      <c r="E9" s="10" t="s">
        <v>55</v>
      </c>
      <c r="F9" s="10" t="s">
        <v>122</v>
      </c>
      <c r="G9" s="12">
        <v>62458203</v>
      </c>
      <c r="H9" s="13">
        <f>IF(G9="","",IFERROR(G9/Settings!$B$3,""))</f>
        <v>780727.53749999998</v>
      </c>
      <c r="I9" s="10" t="s">
        <v>36</v>
      </c>
      <c r="J9" s="22" t="s">
        <v>56</v>
      </c>
      <c r="K9" s="10" t="s">
        <v>57</v>
      </c>
      <c r="L9" s="10" t="s">
        <v>58</v>
      </c>
      <c r="M9" s="10" t="s">
        <v>59</v>
      </c>
      <c r="N9" s="10" t="s">
        <v>60</v>
      </c>
      <c r="O9" s="15" t="s">
        <v>181</v>
      </c>
      <c r="P9" s="15" t="s">
        <v>52</v>
      </c>
      <c r="Q9" s="10" t="s">
        <v>62</v>
      </c>
      <c r="R9" s="11">
        <f t="shared" ca="1" si="0"/>
        <v>46163</v>
      </c>
      <c r="S9" s="10" t="s">
        <v>162</v>
      </c>
      <c r="T9" s="10" t="s">
        <v>163</v>
      </c>
      <c r="U9" s="45">
        <v>500</v>
      </c>
      <c r="V9" s="10" t="s">
        <v>190</v>
      </c>
    </row>
    <row r="10" spans="1:22" ht="21.75" customHeight="1" x14ac:dyDescent="1.1000000000000001">
      <c r="A10" s="48"/>
      <c r="B10" s="10" t="s">
        <v>53</v>
      </c>
      <c r="C10" s="10" t="s">
        <v>54</v>
      </c>
      <c r="D10" s="11">
        <v>46123</v>
      </c>
      <c r="E10" s="10" t="s">
        <v>55</v>
      </c>
      <c r="F10" s="10" t="s">
        <v>122</v>
      </c>
      <c r="G10" s="12">
        <v>62458204</v>
      </c>
      <c r="H10" s="13">
        <f>IF(G10="","",IFERROR(G10/Settings!$B$3,""))</f>
        <v>780727.55</v>
      </c>
      <c r="I10" s="10" t="s">
        <v>36</v>
      </c>
      <c r="J10" s="22" t="s">
        <v>56</v>
      </c>
      <c r="K10" s="10" t="s">
        <v>57</v>
      </c>
      <c r="L10" s="10" t="s">
        <v>58</v>
      </c>
      <c r="M10" s="10" t="s">
        <v>59</v>
      </c>
      <c r="N10" s="10" t="s">
        <v>60</v>
      </c>
      <c r="O10" s="15" t="s">
        <v>182</v>
      </c>
      <c r="P10" s="15" t="s">
        <v>52</v>
      </c>
      <c r="Q10" s="10" t="s">
        <v>62</v>
      </c>
      <c r="R10" s="11">
        <f t="shared" ca="1" si="0"/>
        <v>46163</v>
      </c>
      <c r="S10" s="10" t="s">
        <v>164</v>
      </c>
      <c r="T10" s="10" t="s">
        <v>165</v>
      </c>
      <c r="U10" s="45">
        <v>1200</v>
      </c>
      <c r="V10" s="10" t="s">
        <v>190</v>
      </c>
    </row>
    <row r="11" spans="1:22" ht="21.75" customHeight="1" x14ac:dyDescent="1.1000000000000001">
      <c r="A11" s="48"/>
      <c r="B11" s="10" t="s">
        <v>53</v>
      </c>
      <c r="C11" s="10" t="s">
        <v>54</v>
      </c>
      <c r="D11" s="11">
        <v>46124</v>
      </c>
      <c r="E11" s="10" t="s">
        <v>55</v>
      </c>
      <c r="F11" s="10" t="s">
        <v>122</v>
      </c>
      <c r="G11" s="12">
        <v>62458205</v>
      </c>
      <c r="H11" s="13">
        <f>IF(G11="","",IFERROR(G11/Settings!$B$3,""))</f>
        <v>780727.5625</v>
      </c>
      <c r="I11" s="10" t="s">
        <v>36</v>
      </c>
      <c r="J11" s="22" t="s">
        <v>56</v>
      </c>
      <c r="K11" s="10" t="s">
        <v>57</v>
      </c>
      <c r="L11" s="10" t="s">
        <v>58</v>
      </c>
      <c r="M11" s="10" t="s">
        <v>59</v>
      </c>
      <c r="N11" s="10" t="s">
        <v>60</v>
      </c>
      <c r="O11" s="15" t="s">
        <v>183</v>
      </c>
      <c r="P11" s="15" t="s">
        <v>52</v>
      </c>
      <c r="Q11" s="10" t="s">
        <v>62</v>
      </c>
      <c r="R11" s="11">
        <f t="shared" ca="1" si="0"/>
        <v>46163</v>
      </c>
      <c r="S11" s="10" t="s">
        <v>166</v>
      </c>
      <c r="T11" s="10" t="s">
        <v>167</v>
      </c>
      <c r="U11" s="45">
        <v>206</v>
      </c>
      <c r="V11" s="10" t="s">
        <v>193</v>
      </c>
    </row>
    <row r="12" spans="1:22" ht="21.75" customHeight="1" x14ac:dyDescent="1.1000000000000001">
      <c r="A12" s="48"/>
      <c r="B12" s="10" t="s">
        <v>53</v>
      </c>
      <c r="C12" s="10" t="s">
        <v>54</v>
      </c>
      <c r="D12" s="11">
        <v>46125</v>
      </c>
      <c r="E12" s="10" t="s">
        <v>55</v>
      </c>
      <c r="F12" s="10" t="s">
        <v>122</v>
      </c>
      <c r="G12" s="12">
        <v>62458206</v>
      </c>
      <c r="H12" s="13">
        <f>IF(G12="","",IFERROR(G12/Settings!$B$3,""))</f>
        <v>780727.57499999995</v>
      </c>
      <c r="I12" s="10" t="s">
        <v>36</v>
      </c>
      <c r="J12" s="22" t="s">
        <v>56</v>
      </c>
      <c r="K12" s="10" t="s">
        <v>57</v>
      </c>
      <c r="L12" s="10" t="s">
        <v>58</v>
      </c>
      <c r="M12" s="10" t="s">
        <v>59</v>
      </c>
      <c r="N12" s="10" t="s">
        <v>60</v>
      </c>
      <c r="O12" s="15" t="s">
        <v>184</v>
      </c>
      <c r="P12" s="15" t="s">
        <v>52</v>
      </c>
      <c r="Q12" s="10" t="s">
        <v>62</v>
      </c>
      <c r="R12" s="11">
        <f t="shared" ca="1" si="0"/>
        <v>46163</v>
      </c>
      <c r="S12" s="10" t="s">
        <v>168</v>
      </c>
      <c r="T12" s="10" t="s">
        <v>169</v>
      </c>
      <c r="U12" s="45">
        <v>200</v>
      </c>
      <c r="V12" s="10" t="s">
        <v>191</v>
      </c>
    </row>
    <row r="13" spans="1:22" ht="21.75" customHeight="1" x14ac:dyDescent="1.1000000000000001">
      <c r="A13" s="48"/>
      <c r="B13" s="10" t="s">
        <v>53</v>
      </c>
      <c r="C13" s="10" t="s">
        <v>54</v>
      </c>
      <c r="D13" s="11">
        <v>46126</v>
      </c>
      <c r="E13" s="10" t="s">
        <v>55</v>
      </c>
      <c r="F13" s="10" t="s">
        <v>122</v>
      </c>
      <c r="G13" s="12">
        <v>62458207</v>
      </c>
      <c r="H13" s="13">
        <f>IF(G13="","",IFERROR(G13/Settings!$B$3,""))</f>
        <v>780727.58750000002</v>
      </c>
      <c r="I13" s="10" t="s">
        <v>36</v>
      </c>
      <c r="J13" s="22" t="s">
        <v>56</v>
      </c>
      <c r="K13" s="10" t="s">
        <v>57</v>
      </c>
      <c r="L13" s="10" t="s">
        <v>58</v>
      </c>
      <c r="M13" s="10" t="s">
        <v>59</v>
      </c>
      <c r="N13" s="10" t="s">
        <v>60</v>
      </c>
      <c r="O13" s="15" t="s">
        <v>185</v>
      </c>
      <c r="P13" s="15" t="s">
        <v>52</v>
      </c>
      <c r="Q13" s="10" t="s">
        <v>62</v>
      </c>
      <c r="R13" s="11">
        <f t="shared" ca="1" si="0"/>
        <v>46163</v>
      </c>
      <c r="S13" s="10" t="s">
        <v>170</v>
      </c>
      <c r="T13" s="10" t="s">
        <v>171</v>
      </c>
      <c r="U13" s="45">
        <v>412</v>
      </c>
      <c r="V13" s="10" t="s">
        <v>194</v>
      </c>
    </row>
    <row r="14" spans="1:22" ht="21.75" customHeight="1" x14ac:dyDescent="1.1000000000000001">
      <c r="A14" s="48"/>
      <c r="B14" s="10" t="s">
        <v>53</v>
      </c>
      <c r="C14" s="10" t="s">
        <v>54</v>
      </c>
      <c r="D14" s="11">
        <v>46127</v>
      </c>
      <c r="E14" s="10" t="s">
        <v>55</v>
      </c>
      <c r="F14" s="10" t="s">
        <v>122</v>
      </c>
      <c r="G14" s="12">
        <v>62458208</v>
      </c>
      <c r="H14" s="13">
        <f>IF(G14="","",IFERROR(G14/Settings!$B$3,""))</f>
        <v>780727.6</v>
      </c>
      <c r="I14" s="10" t="s">
        <v>36</v>
      </c>
      <c r="J14" s="22" t="s">
        <v>56</v>
      </c>
      <c r="K14" s="10" t="s">
        <v>57</v>
      </c>
      <c r="L14" s="10" t="s">
        <v>58</v>
      </c>
      <c r="M14" s="10" t="s">
        <v>59</v>
      </c>
      <c r="N14" s="10" t="s">
        <v>60</v>
      </c>
      <c r="O14" s="15" t="s">
        <v>186</v>
      </c>
      <c r="P14" s="15" t="s">
        <v>52</v>
      </c>
      <c r="Q14" s="10" t="s">
        <v>62</v>
      </c>
      <c r="R14" s="11">
        <f t="shared" ca="1" si="0"/>
        <v>46163</v>
      </c>
      <c r="S14" s="10" t="s">
        <v>172</v>
      </c>
      <c r="T14" s="10" t="s">
        <v>173</v>
      </c>
      <c r="U14" s="45">
        <v>412</v>
      </c>
      <c r="V14" s="10" t="s">
        <v>194</v>
      </c>
    </row>
    <row r="15" spans="1:22" ht="21.75" customHeight="1" x14ac:dyDescent="1.1000000000000001">
      <c r="A15" s="48"/>
      <c r="B15" s="10" t="s">
        <v>53</v>
      </c>
      <c r="C15" s="10" t="s">
        <v>54</v>
      </c>
      <c r="D15" s="11">
        <v>46128</v>
      </c>
      <c r="E15" s="10" t="s">
        <v>55</v>
      </c>
      <c r="F15" s="10" t="s">
        <v>122</v>
      </c>
      <c r="G15" s="12">
        <v>62458209</v>
      </c>
      <c r="H15" s="13">
        <f>IF(G15="","",IFERROR(G15/Settings!$B$3,""))</f>
        <v>780727.61250000005</v>
      </c>
      <c r="I15" s="10" t="s">
        <v>36</v>
      </c>
      <c r="J15" s="22" t="s">
        <v>56</v>
      </c>
      <c r="K15" s="10" t="s">
        <v>57</v>
      </c>
      <c r="L15" s="10" t="s">
        <v>58</v>
      </c>
      <c r="M15" s="10" t="s">
        <v>59</v>
      </c>
      <c r="N15" s="10" t="s">
        <v>60</v>
      </c>
      <c r="O15" s="15" t="s">
        <v>187</v>
      </c>
      <c r="P15" s="15" t="s">
        <v>52</v>
      </c>
      <c r="Q15" s="10" t="s">
        <v>62</v>
      </c>
      <c r="R15" s="11">
        <f t="shared" ca="1" si="0"/>
        <v>46163</v>
      </c>
      <c r="S15" s="10" t="s">
        <v>174</v>
      </c>
      <c r="T15" s="10" t="s">
        <v>175</v>
      </c>
      <c r="U15" s="45">
        <v>309</v>
      </c>
      <c r="V15" s="10" t="s">
        <v>189</v>
      </c>
    </row>
    <row r="16" spans="1:22" x14ac:dyDescent="1.1000000000000001">
      <c r="A16" s="49"/>
      <c r="B16" s="10" t="s">
        <v>53</v>
      </c>
      <c r="C16" s="10" t="s">
        <v>54</v>
      </c>
      <c r="D16" s="11">
        <v>46129</v>
      </c>
      <c r="E16" s="10" t="s">
        <v>55</v>
      </c>
      <c r="F16" s="10" t="s">
        <v>122</v>
      </c>
      <c r="G16" s="12">
        <v>62458210</v>
      </c>
      <c r="H16" s="13">
        <f>IF(G16="","",IFERROR(G16/Settings!$B$3,""))</f>
        <v>780727.625</v>
      </c>
      <c r="I16" s="10" t="s">
        <v>36</v>
      </c>
      <c r="J16" s="22" t="s">
        <v>56</v>
      </c>
      <c r="K16" s="10" t="s">
        <v>57</v>
      </c>
      <c r="L16" s="10" t="s">
        <v>58</v>
      </c>
      <c r="M16" s="10" t="s">
        <v>59</v>
      </c>
      <c r="N16" s="10" t="s">
        <v>60</v>
      </c>
      <c r="O16" s="15" t="s">
        <v>188</v>
      </c>
      <c r="P16" s="15" t="s">
        <v>52</v>
      </c>
      <c r="Q16" s="10" t="s">
        <v>62</v>
      </c>
      <c r="R16" s="11">
        <f t="shared" ca="1" si="0"/>
        <v>46163</v>
      </c>
      <c r="S16" s="10" t="s">
        <v>176</v>
      </c>
      <c r="T16" s="10" t="s">
        <v>177</v>
      </c>
      <c r="U16" s="45">
        <v>206</v>
      </c>
      <c r="V16" s="10" t="s">
        <v>189</v>
      </c>
    </row>
    <row r="17" spans="1:22" x14ac:dyDescent="1.1000000000000001">
      <c r="A17" s="52">
        <v>4</v>
      </c>
      <c r="B17" s="16" t="s">
        <v>63</v>
      </c>
      <c r="C17" s="16" t="s">
        <v>64</v>
      </c>
      <c r="D17" s="17">
        <v>46027</v>
      </c>
      <c r="E17" s="16" t="s">
        <v>55</v>
      </c>
      <c r="F17" s="16" t="s">
        <v>122</v>
      </c>
      <c r="G17" s="18">
        <v>45000</v>
      </c>
      <c r="H17" s="19">
        <f>IF(G17="","",IFERROR(G17/Settings!$B$3,""))</f>
        <v>562.5</v>
      </c>
      <c r="I17" s="16" t="s">
        <v>36</v>
      </c>
      <c r="J17" s="20" t="s">
        <v>37</v>
      </c>
      <c r="K17" s="16" t="s">
        <v>38</v>
      </c>
      <c r="L17" s="16" t="s">
        <v>66</v>
      </c>
      <c r="M17" s="16" t="s">
        <v>67</v>
      </c>
      <c r="N17" s="16" t="s">
        <v>68</v>
      </c>
      <c r="O17" s="16">
        <v>42041</v>
      </c>
      <c r="P17" s="21" t="s">
        <v>69</v>
      </c>
      <c r="Q17" s="16" t="s">
        <v>70</v>
      </c>
      <c r="R17" s="17">
        <f ca="1">IF(B17="","",TODAY())</f>
        <v>46163</v>
      </c>
      <c r="S17" s="10" t="s">
        <v>195</v>
      </c>
      <c r="T17" s="10" t="s">
        <v>196</v>
      </c>
      <c r="U17" s="45">
        <v>1</v>
      </c>
      <c r="V17" s="10" t="s">
        <v>211</v>
      </c>
    </row>
    <row r="18" spans="1:22" x14ac:dyDescent="1.1000000000000001">
      <c r="A18" s="53"/>
      <c r="B18" s="16" t="s">
        <v>63</v>
      </c>
      <c r="C18" s="16" t="s">
        <v>64</v>
      </c>
      <c r="D18" s="17">
        <v>46028</v>
      </c>
      <c r="E18" s="16" t="s">
        <v>55</v>
      </c>
      <c r="F18" s="16" t="s">
        <v>122</v>
      </c>
      <c r="G18" s="18">
        <v>45001</v>
      </c>
      <c r="H18" s="19">
        <f>IF(G18="","",IFERROR(G18/Settings!$B$3,""))</f>
        <v>562.51250000000005</v>
      </c>
      <c r="I18" s="16" t="s">
        <v>36</v>
      </c>
      <c r="J18" s="20" t="s">
        <v>37</v>
      </c>
      <c r="K18" s="16" t="s">
        <v>38</v>
      </c>
      <c r="L18" s="16" t="s">
        <v>66</v>
      </c>
      <c r="M18" s="16" t="s">
        <v>67</v>
      </c>
      <c r="N18" s="16" t="s">
        <v>68</v>
      </c>
      <c r="O18" s="16">
        <v>42042</v>
      </c>
      <c r="P18" s="21" t="s">
        <v>69</v>
      </c>
      <c r="Q18" s="16" t="s">
        <v>70</v>
      </c>
      <c r="R18" s="17">
        <f t="shared" ref="R18:R24" ca="1" si="1">IF(B18="","",TODAY())</f>
        <v>46163</v>
      </c>
      <c r="S18" s="10" t="s">
        <v>197</v>
      </c>
      <c r="T18" s="10" t="s">
        <v>198</v>
      </c>
      <c r="U18" s="45">
        <v>1</v>
      </c>
      <c r="V18" s="10" t="s">
        <v>193</v>
      </c>
    </row>
    <row r="19" spans="1:22" x14ac:dyDescent="1.1000000000000001">
      <c r="A19" s="53"/>
      <c r="B19" s="16" t="s">
        <v>63</v>
      </c>
      <c r="C19" s="16" t="s">
        <v>64</v>
      </c>
      <c r="D19" s="17">
        <v>46029</v>
      </c>
      <c r="E19" s="16" t="s">
        <v>55</v>
      </c>
      <c r="F19" s="16" t="s">
        <v>122</v>
      </c>
      <c r="G19" s="18">
        <v>45002</v>
      </c>
      <c r="H19" s="19">
        <f>IF(G19="","",IFERROR(G19/Settings!$B$3,""))</f>
        <v>562.52499999999998</v>
      </c>
      <c r="I19" s="16" t="s">
        <v>36</v>
      </c>
      <c r="J19" s="20" t="s">
        <v>37</v>
      </c>
      <c r="K19" s="16" t="s">
        <v>38</v>
      </c>
      <c r="L19" s="16" t="s">
        <v>66</v>
      </c>
      <c r="M19" s="16" t="s">
        <v>67</v>
      </c>
      <c r="N19" s="16" t="s">
        <v>68</v>
      </c>
      <c r="O19" s="16">
        <v>42043</v>
      </c>
      <c r="P19" s="21" t="s">
        <v>69</v>
      </c>
      <c r="Q19" s="16" t="s">
        <v>70</v>
      </c>
      <c r="R19" s="17">
        <f t="shared" ca="1" si="1"/>
        <v>46163</v>
      </c>
      <c r="S19" s="10" t="s">
        <v>199</v>
      </c>
      <c r="T19" s="10" t="s">
        <v>200</v>
      </c>
      <c r="U19" s="45">
        <v>1</v>
      </c>
      <c r="V19" s="10" t="s">
        <v>192</v>
      </c>
    </row>
    <row r="20" spans="1:22" x14ac:dyDescent="1.1000000000000001">
      <c r="A20" s="53"/>
      <c r="B20" s="16" t="s">
        <v>63</v>
      </c>
      <c r="C20" s="16" t="s">
        <v>64</v>
      </c>
      <c r="D20" s="17">
        <v>46030</v>
      </c>
      <c r="E20" s="16" t="s">
        <v>55</v>
      </c>
      <c r="F20" s="16" t="s">
        <v>122</v>
      </c>
      <c r="G20" s="18">
        <v>45003</v>
      </c>
      <c r="H20" s="19">
        <f>IF(G20="","",IFERROR(G20/Settings!$B$3,""))</f>
        <v>562.53750000000002</v>
      </c>
      <c r="I20" s="16" t="s">
        <v>36</v>
      </c>
      <c r="J20" s="20" t="s">
        <v>37</v>
      </c>
      <c r="K20" s="16" t="s">
        <v>38</v>
      </c>
      <c r="L20" s="16" t="s">
        <v>66</v>
      </c>
      <c r="M20" s="16" t="s">
        <v>67</v>
      </c>
      <c r="N20" s="16" t="s">
        <v>68</v>
      </c>
      <c r="O20" s="16">
        <v>42044</v>
      </c>
      <c r="P20" s="21" t="s">
        <v>69</v>
      </c>
      <c r="Q20" s="16" t="s">
        <v>70</v>
      </c>
      <c r="R20" s="17">
        <f t="shared" ca="1" si="1"/>
        <v>46163</v>
      </c>
      <c r="S20" s="10" t="s">
        <v>201</v>
      </c>
      <c r="T20" s="10" t="s">
        <v>209</v>
      </c>
      <c r="U20" s="45">
        <v>1</v>
      </c>
      <c r="V20" s="10" t="s">
        <v>192</v>
      </c>
    </row>
    <row r="21" spans="1:22" x14ac:dyDescent="1.1000000000000001">
      <c r="A21" s="53"/>
      <c r="B21" s="16" t="s">
        <v>63</v>
      </c>
      <c r="C21" s="16" t="s">
        <v>64</v>
      </c>
      <c r="D21" s="17">
        <v>46031</v>
      </c>
      <c r="E21" s="16" t="s">
        <v>55</v>
      </c>
      <c r="F21" s="16" t="s">
        <v>122</v>
      </c>
      <c r="G21" s="18">
        <v>45004</v>
      </c>
      <c r="H21" s="19">
        <f>IF(G21="","",IFERROR(G21/Settings!$B$3,""))</f>
        <v>562.54999999999995</v>
      </c>
      <c r="I21" s="16" t="s">
        <v>36</v>
      </c>
      <c r="J21" s="20" t="s">
        <v>37</v>
      </c>
      <c r="K21" s="16" t="s">
        <v>38</v>
      </c>
      <c r="L21" s="16" t="s">
        <v>66</v>
      </c>
      <c r="M21" s="16" t="s">
        <v>67</v>
      </c>
      <c r="N21" s="16" t="s">
        <v>68</v>
      </c>
      <c r="O21" s="16">
        <v>42045</v>
      </c>
      <c r="P21" s="21" t="s">
        <v>69</v>
      </c>
      <c r="Q21" s="16" t="s">
        <v>70</v>
      </c>
      <c r="R21" s="17">
        <f t="shared" ca="1" si="1"/>
        <v>46163</v>
      </c>
      <c r="S21" s="10" t="s">
        <v>202</v>
      </c>
      <c r="T21" s="10" t="s">
        <v>210</v>
      </c>
      <c r="U21" s="45">
        <v>1</v>
      </c>
      <c r="V21" s="10" t="s">
        <v>192</v>
      </c>
    </row>
    <row r="22" spans="1:22" x14ac:dyDescent="1.1000000000000001">
      <c r="A22" s="53"/>
      <c r="B22" s="16" t="s">
        <v>63</v>
      </c>
      <c r="C22" s="16" t="s">
        <v>64</v>
      </c>
      <c r="D22" s="17">
        <v>46032</v>
      </c>
      <c r="E22" s="16" t="s">
        <v>55</v>
      </c>
      <c r="F22" s="16" t="s">
        <v>122</v>
      </c>
      <c r="G22" s="18">
        <v>45005</v>
      </c>
      <c r="H22" s="19">
        <f>IF(G22="","",IFERROR(G22/Settings!$B$3,""))</f>
        <v>562.5625</v>
      </c>
      <c r="I22" s="16" t="s">
        <v>36</v>
      </c>
      <c r="J22" s="20" t="s">
        <v>37</v>
      </c>
      <c r="K22" s="16" t="s">
        <v>38</v>
      </c>
      <c r="L22" s="16" t="s">
        <v>66</v>
      </c>
      <c r="M22" s="16" t="s">
        <v>67</v>
      </c>
      <c r="N22" s="16" t="s">
        <v>68</v>
      </c>
      <c r="O22" s="16">
        <v>42046</v>
      </c>
      <c r="P22" s="21" t="s">
        <v>69</v>
      </c>
      <c r="Q22" s="16" t="s">
        <v>70</v>
      </c>
      <c r="R22" s="17">
        <f t="shared" ca="1" si="1"/>
        <v>46163</v>
      </c>
      <c r="S22" s="10" t="s">
        <v>203</v>
      </c>
      <c r="T22" s="10" t="s">
        <v>204</v>
      </c>
      <c r="U22" s="45">
        <v>1</v>
      </c>
      <c r="V22" s="10" t="s">
        <v>191</v>
      </c>
    </row>
    <row r="23" spans="1:22" x14ac:dyDescent="1.1000000000000001">
      <c r="A23" s="53"/>
      <c r="B23" s="16" t="s">
        <v>63</v>
      </c>
      <c r="C23" s="16" t="s">
        <v>64</v>
      </c>
      <c r="D23" s="17">
        <v>46033</v>
      </c>
      <c r="E23" s="16" t="s">
        <v>55</v>
      </c>
      <c r="F23" s="16" t="s">
        <v>122</v>
      </c>
      <c r="G23" s="18">
        <v>45006</v>
      </c>
      <c r="H23" s="19">
        <f>IF(G23="","",IFERROR(G23/Settings!$B$3,""))</f>
        <v>562.57500000000005</v>
      </c>
      <c r="I23" s="16" t="s">
        <v>36</v>
      </c>
      <c r="J23" s="20" t="s">
        <v>37</v>
      </c>
      <c r="K23" s="16" t="s">
        <v>38</v>
      </c>
      <c r="L23" s="16" t="s">
        <v>66</v>
      </c>
      <c r="M23" s="16" t="s">
        <v>67</v>
      </c>
      <c r="N23" s="16" t="s">
        <v>68</v>
      </c>
      <c r="O23" s="16">
        <v>42047</v>
      </c>
      <c r="P23" s="21" t="s">
        <v>69</v>
      </c>
      <c r="Q23" s="16" t="s">
        <v>70</v>
      </c>
      <c r="R23" s="17">
        <f t="shared" ca="1" si="1"/>
        <v>46163</v>
      </c>
      <c r="S23" s="10" t="s">
        <v>205</v>
      </c>
      <c r="T23" s="10" t="s">
        <v>206</v>
      </c>
      <c r="U23" s="45">
        <v>1</v>
      </c>
      <c r="V23" s="10" t="s">
        <v>191</v>
      </c>
    </row>
    <row r="24" spans="1:22" x14ac:dyDescent="1.1000000000000001">
      <c r="A24" s="54"/>
      <c r="B24" s="16" t="s">
        <v>63</v>
      </c>
      <c r="C24" s="16" t="s">
        <v>64</v>
      </c>
      <c r="D24" s="17">
        <v>46034</v>
      </c>
      <c r="E24" s="16" t="s">
        <v>55</v>
      </c>
      <c r="F24" s="16" t="s">
        <v>122</v>
      </c>
      <c r="G24" s="18">
        <v>45007</v>
      </c>
      <c r="H24" s="19">
        <f>IF(G24="","",IFERROR(G24/Settings!$B$3,""))</f>
        <v>562.58749999999998</v>
      </c>
      <c r="I24" s="16" t="s">
        <v>36</v>
      </c>
      <c r="J24" s="20" t="s">
        <v>37</v>
      </c>
      <c r="K24" s="16" t="s">
        <v>38</v>
      </c>
      <c r="L24" s="16" t="s">
        <v>66</v>
      </c>
      <c r="M24" s="16" t="s">
        <v>67</v>
      </c>
      <c r="N24" s="16" t="s">
        <v>68</v>
      </c>
      <c r="O24" s="16">
        <v>42048</v>
      </c>
      <c r="P24" s="21" t="s">
        <v>69</v>
      </c>
      <c r="Q24" s="16" t="s">
        <v>70</v>
      </c>
      <c r="R24" s="17">
        <f t="shared" ca="1" si="1"/>
        <v>46163</v>
      </c>
      <c r="S24" s="10" t="s">
        <v>207</v>
      </c>
      <c r="T24" s="10" t="s">
        <v>208</v>
      </c>
      <c r="U24" s="45">
        <v>1</v>
      </c>
      <c r="V24" s="10" t="s">
        <v>208</v>
      </c>
    </row>
    <row r="25" spans="1:22" ht="21.75" customHeight="1" x14ac:dyDescent="1.1000000000000001">
      <c r="A25" s="10">
        <v>5</v>
      </c>
      <c r="B25" s="10"/>
      <c r="C25" s="10" t="s">
        <v>71</v>
      </c>
      <c r="D25" s="11"/>
      <c r="E25" s="10"/>
      <c r="F25" s="10" t="s">
        <v>122</v>
      </c>
      <c r="G25" s="12"/>
      <c r="H25" s="13" t="str">
        <f>IF(G25="","",IFERROR(G25/Settings!$B$3,""))</f>
        <v/>
      </c>
      <c r="I25" s="10" t="s">
        <v>102</v>
      </c>
      <c r="J25" s="23" t="s">
        <v>72</v>
      </c>
      <c r="K25" s="10" t="s">
        <v>65</v>
      </c>
      <c r="L25" s="10" t="s">
        <v>73</v>
      </c>
      <c r="M25" s="10" t="s">
        <v>74</v>
      </c>
      <c r="N25" s="10"/>
      <c r="O25" s="15"/>
      <c r="P25" s="15"/>
      <c r="Q25" s="10" t="s">
        <v>70</v>
      </c>
      <c r="R25" s="11"/>
      <c r="S25" s="10"/>
      <c r="T25" s="10" t="s">
        <v>212</v>
      </c>
      <c r="U25" s="45">
        <v>40</v>
      </c>
      <c r="V25" s="10" t="s">
        <v>213</v>
      </c>
    </row>
    <row r="26" spans="1:22" x14ac:dyDescent="1.1000000000000001">
      <c r="A26" s="16">
        <v>6</v>
      </c>
      <c r="B26" s="16" t="s">
        <v>75</v>
      </c>
      <c r="C26" s="16" t="s">
        <v>76</v>
      </c>
      <c r="D26" s="17">
        <v>46079</v>
      </c>
      <c r="E26" s="16" t="s">
        <v>77</v>
      </c>
      <c r="F26" s="16" t="s">
        <v>123</v>
      </c>
      <c r="G26" s="18"/>
      <c r="H26" s="19" t="str">
        <f>IF(G26="","",IFERROR(G26/Settings!$B$3,""))</f>
        <v/>
      </c>
      <c r="I26" s="16" t="s">
        <v>36</v>
      </c>
      <c r="J26" s="23" t="s">
        <v>72</v>
      </c>
      <c r="K26" s="16" t="s">
        <v>65</v>
      </c>
      <c r="L26" s="16" t="s">
        <v>78</v>
      </c>
      <c r="M26" s="16" t="s">
        <v>79</v>
      </c>
      <c r="N26" s="16"/>
      <c r="O26" s="21"/>
      <c r="P26" s="21"/>
      <c r="Q26" s="16" t="s">
        <v>80</v>
      </c>
      <c r="R26" s="17"/>
      <c r="S26" s="10"/>
      <c r="T26" s="10" t="s">
        <v>214</v>
      </c>
      <c r="U26" s="45">
        <v>40</v>
      </c>
      <c r="V26" s="10" t="s">
        <v>213</v>
      </c>
    </row>
    <row r="27" spans="1:22" ht="31.5" customHeight="1" x14ac:dyDescent="1.1000000000000001">
      <c r="A27" s="48">
        <v>7</v>
      </c>
      <c r="B27" s="10" t="s">
        <v>81</v>
      </c>
      <c r="C27" s="10" t="s">
        <v>82</v>
      </c>
      <c r="D27" s="11">
        <v>46124</v>
      </c>
      <c r="E27" s="10" t="s">
        <v>83</v>
      </c>
      <c r="F27" s="10" t="s">
        <v>122</v>
      </c>
      <c r="G27" s="12"/>
      <c r="H27" s="13" t="str">
        <f>IF(G27="","",IFERROR(G27/Settings!$B$3,""))</f>
        <v/>
      </c>
      <c r="I27" s="10" t="s">
        <v>36</v>
      </c>
      <c r="J27" s="23" t="s">
        <v>72</v>
      </c>
      <c r="K27" s="10" t="s">
        <v>65</v>
      </c>
      <c r="L27" s="10" t="s">
        <v>84</v>
      </c>
      <c r="M27" s="10" t="s">
        <v>85</v>
      </c>
      <c r="N27" s="10"/>
      <c r="O27" s="15"/>
      <c r="P27" s="15" t="s">
        <v>86</v>
      </c>
      <c r="Q27" s="10" t="s">
        <v>80</v>
      </c>
      <c r="R27" s="11"/>
      <c r="S27" s="10"/>
      <c r="T27" s="10" t="s">
        <v>215</v>
      </c>
      <c r="U27" s="45">
        <v>200</v>
      </c>
      <c r="V27" s="10" t="s">
        <v>213</v>
      </c>
    </row>
    <row r="28" spans="1:22" ht="31.5" customHeight="1" x14ac:dyDescent="1.1000000000000001">
      <c r="A28" s="48"/>
      <c r="B28" s="10" t="s">
        <v>81</v>
      </c>
      <c r="C28" s="10" t="s">
        <v>82</v>
      </c>
      <c r="D28" s="11">
        <v>46125</v>
      </c>
      <c r="E28" s="10" t="s">
        <v>83</v>
      </c>
      <c r="F28" s="10" t="s">
        <v>122</v>
      </c>
      <c r="G28" s="12"/>
      <c r="H28" s="13" t="str">
        <f>IF(G28="","",IFERROR(G28/Settings!$B$3,""))</f>
        <v/>
      </c>
      <c r="I28" s="10" t="s">
        <v>36</v>
      </c>
      <c r="J28" s="23" t="s">
        <v>72</v>
      </c>
      <c r="K28" s="10" t="s">
        <v>65</v>
      </c>
      <c r="L28" s="10" t="s">
        <v>84</v>
      </c>
      <c r="M28" s="10" t="s">
        <v>85</v>
      </c>
      <c r="N28" s="10"/>
      <c r="O28" s="15"/>
      <c r="P28" s="15" t="s">
        <v>86</v>
      </c>
      <c r="Q28" s="10" t="s">
        <v>80</v>
      </c>
      <c r="R28" s="11"/>
      <c r="S28" s="10"/>
      <c r="T28" s="10" t="s">
        <v>216</v>
      </c>
      <c r="U28" s="45">
        <v>200</v>
      </c>
      <c r="V28" s="10" t="s">
        <v>213</v>
      </c>
    </row>
    <row r="29" spans="1:22" ht="31.5" customHeight="1" x14ac:dyDescent="1.1000000000000001">
      <c r="A29" s="48"/>
      <c r="B29" s="10" t="s">
        <v>81</v>
      </c>
      <c r="C29" s="10" t="s">
        <v>82</v>
      </c>
      <c r="D29" s="11">
        <v>46126</v>
      </c>
      <c r="E29" s="10" t="s">
        <v>83</v>
      </c>
      <c r="F29" s="10" t="s">
        <v>122</v>
      </c>
      <c r="G29" s="12"/>
      <c r="H29" s="13" t="str">
        <f>IF(G29="","",IFERROR(G29/Settings!$B$3,""))</f>
        <v/>
      </c>
      <c r="I29" s="10" t="s">
        <v>36</v>
      </c>
      <c r="J29" s="23" t="s">
        <v>72</v>
      </c>
      <c r="K29" s="10" t="s">
        <v>65</v>
      </c>
      <c r="L29" s="10" t="s">
        <v>84</v>
      </c>
      <c r="M29" s="10" t="s">
        <v>85</v>
      </c>
      <c r="N29" s="10"/>
      <c r="O29" s="15"/>
      <c r="P29" s="15" t="s">
        <v>86</v>
      </c>
      <c r="Q29" s="10" t="s">
        <v>80</v>
      </c>
      <c r="R29" s="11"/>
      <c r="S29" s="10"/>
      <c r="T29" s="10" t="s">
        <v>217</v>
      </c>
      <c r="U29" s="45">
        <v>50</v>
      </c>
      <c r="V29" s="10" t="s">
        <v>213</v>
      </c>
    </row>
    <row r="30" spans="1:22" ht="31.5" customHeight="1" x14ac:dyDescent="1.1000000000000001">
      <c r="A30" s="48"/>
      <c r="B30" s="10" t="s">
        <v>81</v>
      </c>
      <c r="C30" s="10" t="s">
        <v>82</v>
      </c>
      <c r="D30" s="11">
        <v>46127</v>
      </c>
      <c r="E30" s="10" t="s">
        <v>83</v>
      </c>
      <c r="F30" s="10" t="s">
        <v>122</v>
      </c>
      <c r="G30" s="12"/>
      <c r="H30" s="13" t="str">
        <f>IF(G30="","",IFERROR(G30/Settings!$B$3,""))</f>
        <v/>
      </c>
      <c r="I30" s="10" t="s">
        <v>36</v>
      </c>
      <c r="J30" s="23" t="s">
        <v>72</v>
      </c>
      <c r="K30" s="10" t="s">
        <v>65</v>
      </c>
      <c r="L30" s="10" t="s">
        <v>84</v>
      </c>
      <c r="M30" s="10" t="s">
        <v>85</v>
      </c>
      <c r="N30" s="10"/>
      <c r="O30" s="15"/>
      <c r="P30" s="15" t="s">
        <v>86</v>
      </c>
      <c r="Q30" s="10" t="s">
        <v>80</v>
      </c>
      <c r="R30" s="11"/>
      <c r="S30" s="10"/>
      <c r="T30" s="10" t="s">
        <v>218</v>
      </c>
      <c r="U30" s="45">
        <v>40</v>
      </c>
      <c r="V30" s="10" t="s">
        <v>213</v>
      </c>
    </row>
    <row r="31" spans="1:22" ht="31.5" customHeight="1" x14ac:dyDescent="1.1000000000000001">
      <c r="A31" s="48"/>
      <c r="B31" s="10" t="s">
        <v>81</v>
      </c>
      <c r="C31" s="10" t="s">
        <v>82</v>
      </c>
      <c r="D31" s="11">
        <v>46128</v>
      </c>
      <c r="E31" s="10" t="s">
        <v>83</v>
      </c>
      <c r="F31" s="10" t="s">
        <v>122</v>
      </c>
      <c r="G31" s="12"/>
      <c r="H31" s="13" t="str">
        <f>IF(G31="","",IFERROR(G31/Settings!$B$3,""))</f>
        <v/>
      </c>
      <c r="I31" s="10" t="s">
        <v>36</v>
      </c>
      <c r="J31" s="23" t="s">
        <v>72</v>
      </c>
      <c r="K31" s="10" t="s">
        <v>65</v>
      </c>
      <c r="L31" s="10" t="s">
        <v>84</v>
      </c>
      <c r="M31" s="10" t="s">
        <v>85</v>
      </c>
      <c r="N31" s="10"/>
      <c r="O31" s="15"/>
      <c r="P31" s="15" t="s">
        <v>86</v>
      </c>
      <c r="Q31" s="10" t="s">
        <v>80</v>
      </c>
      <c r="R31" s="11"/>
      <c r="S31" s="10"/>
      <c r="T31" s="10" t="s">
        <v>219</v>
      </c>
      <c r="U31" s="45">
        <v>10</v>
      </c>
      <c r="V31" s="10" t="s">
        <v>220</v>
      </c>
    </row>
    <row r="32" spans="1:22" ht="31.5" customHeight="1" x14ac:dyDescent="1.1000000000000001">
      <c r="A32" s="48"/>
      <c r="B32" s="10" t="s">
        <v>81</v>
      </c>
      <c r="C32" s="10" t="s">
        <v>82</v>
      </c>
      <c r="D32" s="11">
        <v>46129</v>
      </c>
      <c r="E32" s="10" t="s">
        <v>83</v>
      </c>
      <c r="F32" s="10" t="s">
        <v>122</v>
      </c>
      <c r="G32" s="12"/>
      <c r="H32" s="13" t="str">
        <f>IF(G32="","",IFERROR(G32/Settings!$B$3,""))</f>
        <v/>
      </c>
      <c r="I32" s="10" t="s">
        <v>36</v>
      </c>
      <c r="J32" s="23" t="s">
        <v>72</v>
      </c>
      <c r="K32" s="10" t="s">
        <v>65</v>
      </c>
      <c r="L32" s="10" t="s">
        <v>84</v>
      </c>
      <c r="M32" s="10" t="s">
        <v>85</v>
      </c>
      <c r="N32" s="10"/>
      <c r="O32" s="15"/>
      <c r="P32" s="15" t="s">
        <v>86</v>
      </c>
      <c r="Q32" s="10" t="s">
        <v>80</v>
      </c>
      <c r="R32" s="11"/>
      <c r="S32" s="10"/>
      <c r="T32" s="10" t="s">
        <v>221</v>
      </c>
      <c r="U32" s="45">
        <v>20</v>
      </c>
      <c r="V32" s="10" t="s">
        <v>220</v>
      </c>
    </row>
    <row r="33" spans="1:22" ht="31.5" customHeight="1" x14ac:dyDescent="1.1000000000000001">
      <c r="A33" s="48"/>
      <c r="B33" s="10" t="s">
        <v>81</v>
      </c>
      <c r="C33" s="10" t="s">
        <v>82</v>
      </c>
      <c r="D33" s="11">
        <v>46130</v>
      </c>
      <c r="E33" s="10" t="s">
        <v>83</v>
      </c>
      <c r="F33" s="10" t="s">
        <v>122</v>
      </c>
      <c r="G33" s="12"/>
      <c r="H33" s="13" t="str">
        <f>IF(G33="","",IFERROR(G33/Settings!$B$3,""))</f>
        <v/>
      </c>
      <c r="I33" s="10" t="s">
        <v>36</v>
      </c>
      <c r="J33" s="23" t="s">
        <v>72</v>
      </c>
      <c r="K33" s="10" t="s">
        <v>65</v>
      </c>
      <c r="L33" s="10" t="s">
        <v>84</v>
      </c>
      <c r="M33" s="10" t="s">
        <v>85</v>
      </c>
      <c r="N33" s="10"/>
      <c r="O33" s="15"/>
      <c r="P33" s="15" t="s">
        <v>86</v>
      </c>
      <c r="Q33" s="10" t="s">
        <v>80</v>
      </c>
      <c r="R33" s="11"/>
      <c r="S33" s="10"/>
      <c r="T33" s="10" t="s">
        <v>222</v>
      </c>
      <c r="U33" s="45">
        <v>30</v>
      </c>
      <c r="V33" s="10" t="s">
        <v>220</v>
      </c>
    </row>
    <row r="34" spans="1:22" ht="31.5" customHeight="1" x14ac:dyDescent="1.1000000000000001">
      <c r="A34" s="48"/>
      <c r="B34" s="10" t="s">
        <v>81</v>
      </c>
      <c r="C34" s="10" t="s">
        <v>82</v>
      </c>
      <c r="D34" s="11">
        <v>46131</v>
      </c>
      <c r="E34" s="10" t="s">
        <v>83</v>
      </c>
      <c r="F34" s="10" t="s">
        <v>122</v>
      </c>
      <c r="G34" s="12"/>
      <c r="H34" s="13" t="str">
        <f>IF(G34="","",IFERROR(G34/Settings!$B$3,""))</f>
        <v/>
      </c>
      <c r="I34" s="10" t="s">
        <v>36</v>
      </c>
      <c r="J34" s="23" t="s">
        <v>72</v>
      </c>
      <c r="K34" s="10" t="s">
        <v>65</v>
      </c>
      <c r="L34" s="10" t="s">
        <v>84</v>
      </c>
      <c r="M34" s="10" t="s">
        <v>85</v>
      </c>
      <c r="N34" s="10"/>
      <c r="O34" s="15"/>
      <c r="P34" s="15" t="s">
        <v>86</v>
      </c>
      <c r="Q34" s="10" t="s">
        <v>80</v>
      </c>
      <c r="R34" s="11"/>
      <c r="S34" s="10"/>
      <c r="T34" s="10" t="s">
        <v>223</v>
      </c>
      <c r="U34" s="45">
        <v>30</v>
      </c>
      <c r="V34" s="10" t="s">
        <v>220</v>
      </c>
    </row>
    <row r="35" spans="1:22" ht="31.5" customHeight="1" x14ac:dyDescent="1.1000000000000001">
      <c r="A35" s="48"/>
      <c r="B35" s="10" t="s">
        <v>81</v>
      </c>
      <c r="C35" s="10" t="s">
        <v>82</v>
      </c>
      <c r="D35" s="11">
        <v>46132</v>
      </c>
      <c r="E35" s="10" t="s">
        <v>83</v>
      </c>
      <c r="F35" s="10" t="s">
        <v>122</v>
      </c>
      <c r="G35" s="12"/>
      <c r="H35" s="13" t="str">
        <f>IF(G35="","",IFERROR(G35/Settings!$B$3,""))</f>
        <v/>
      </c>
      <c r="I35" s="10" t="s">
        <v>36</v>
      </c>
      <c r="J35" s="23" t="s">
        <v>72</v>
      </c>
      <c r="K35" s="10" t="s">
        <v>65</v>
      </c>
      <c r="L35" s="10" t="s">
        <v>84</v>
      </c>
      <c r="M35" s="10" t="s">
        <v>85</v>
      </c>
      <c r="N35" s="10"/>
      <c r="O35" s="15"/>
      <c r="P35" s="15" t="s">
        <v>86</v>
      </c>
      <c r="Q35" s="10" t="s">
        <v>80</v>
      </c>
      <c r="R35" s="11"/>
      <c r="S35" s="10"/>
      <c r="T35" s="10" t="s">
        <v>224</v>
      </c>
      <c r="U35" s="45">
        <v>10</v>
      </c>
      <c r="V35" s="10" t="s">
        <v>220</v>
      </c>
    </row>
    <row r="36" spans="1:22" ht="31.5" customHeight="1" x14ac:dyDescent="1.1000000000000001">
      <c r="A36" s="48"/>
      <c r="B36" s="10" t="s">
        <v>81</v>
      </c>
      <c r="C36" s="10" t="s">
        <v>82</v>
      </c>
      <c r="D36" s="11">
        <v>46133</v>
      </c>
      <c r="E36" s="10" t="s">
        <v>83</v>
      </c>
      <c r="F36" s="10" t="s">
        <v>122</v>
      </c>
      <c r="G36" s="12"/>
      <c r="H36" s="13" t="str">
        <f>IF(G36="","",IFERROR(G36/Settings!$B$3,""))</f>
        <v/>
      </c>
      <c r="I36" s="10" t="s">
        <v>36</v>
      </c>
      <c r="J36" s="23" t="s">
        <v>72</v>
      </c>
      <c r="K36" s="10" t="s">
        <v>65</v>
      </c>
      <c r="L36" s="10" t="s">
        <v>84</v>
      </c>
      <c r="M36" s="10" t="s">
        <v>85</v>
      </c>
      <c r="N36" s="10"/>
      <c r="O36" s="15"/>
      <c r="P36" s="15" t="s">
        <v>86</v>
      </c>
      <c r="Q36" s="10" t="s">
        <v>80</v>
      </c>
      <c r="R36" s="11"/>
      <c r="S36" s="10"/>
      <c r="T36" s="10" t="s">
        <v>225</v>
      </c>
      <c r="U36" s="45">
        <v>10</v>
      </c>
      <c r="V36" s="10" t="s">
        <v>220</v>
      </c>
    </row>
    <row r="37" spans="1:22" ht="31.5" customHeight="1" x14ac:dyDescent="1.1000000000000001">
      <c r="A37" s="48"/>
      <c r="B37" s="10" t="s">
        <v>81</v>
      </c>
      <c r="C37" s="10" t="s">
        <v>82</v>
      </c>
      <c r="D37" s="11">
        <v>46134</v>
      </c>
      <c r="E37" s="10" t="s">
        <v>83</v>
      </c>
      <c r="F37" s="10" t="s">
        <v>122</v>
      </c>
      <c r="G37" s="12"/>
      <c r="H37" s="13" t="str">
        <f>IF(G37="","",IFERROR(G37/Settings!$B$3,""))</f>
        <v/>
      </c>
      <c r="I37" s="10" t="s">
        <v>36</v>
      </c>
      <c r="J37" s="23" t="s">
        <v>72</v>
      </c>
      <c r="K37" s="10" t="s">
        <v>65</v>
      </c>
      <c r="L37" s="10" t="s">
        <v>84</v>
      </c>
      <c r="M37" s="10" t="s">
        <v>85</v>
      </c>
      <c r="N37" s="10"/>
      <c r="O37" s="15"/>
      <c r="P37" s="15" t="s">
        <v>86</v>
      </c>
      <c r="Q37" s="10" t="s">
        <v>80</v>
      </c>
      <c r="R37" s="11"/>
      <c r="S37" s="10"/>
      <c r="T37" s="10" t="s">
        <v>226</v>
      </c>
      <c r="U37" s="45">
        <v>130</v>
      </c>
      <c r="V37" s="10" t="s">
        <v>220</v>
      </c>
    </row>
    <row r="38" spans="1:22" ht="31.5" customHeight="1" x14ac:dyDescent="1.1000000000000001">
      <c r="A38" s="48"/>
      <c r="B38" s="10" t="s">
        <v>81</v>
      </c>
      <c r="C38" s="10" t="s">
        <v>82</v>
      </c>
      <c r="D38" s="11">
        <v>46135</v>
      </c>
      <c r="E38" s="10" t="s">
        <v>83</v>
      </c>
      <c r="F38" s="10" t="s">
        <v>122</v>
      </c>
      <c r="G38" s="12"/>
      <c r="H38" s="13" t="str">
        <f>IF(G38="","",IFERROR(G38/Settings!$B$3,""))</f>
        <v/>
      </c>
      <c r="I38" s="10" t="s">
        <v>36</v>
      </c>
      <c r="J38" s="23" t="s">
        <v>72</v>
      </c>
      <c r="K38" s="10" t="s">
        <v>65</v>
      </c>
      <c r="L38" s="10" t="s">
        <v>84</v>
      </c>
      <c r="M38" s="10" t="s">
        <v>85</v>
      </c>
      <c r="N38" s="10"/>
      <c r="O38" s="15"/>
      <c r="P38" s="15" t="s">
        <v>86</v>
      </c>
      <c r="Q38" s="10" t="s">
        <v>80</v>
      </c>
      <c r="R38" s="11"/>
      <c r="S38" s="10"/>
      <c r="T38" s="10" t="s">
        <v>227</v>
      </c>
      <c r="U38" s="45">
        <v>80</v>
      </c>
      <c r="V38" s="10" t="s">
        <v>220</v>
      </c>
    </row>
    <row r="39" spans="1:22" ht="31.5" customHeight="1" x14ac:dyDescent="1.1000000000000001">
      <c r="A39" s="48"/>
      <c r="B39" s="10" t="s">
        <v>81</v>
      </c>
      <c r="C39" s="10" t="s">
        <v>82</v>
      </c>
      <c r="D39" s="11">
        <v>46136</v>
      </c>
      <c r="E39" s="10" t="s">
        <v>83</v>
      </c>
      <c r="F39" s="10" t="s">
        <v>122</v>
      </c>
      <c r="G39" s="12"/>
      <c r="H39" s="13" t="str">
        <f>IF(G39="","",IFERROR(G39/Settings!$B$3,""))</f>
        <v/>
      </c>
      <c r="I39" s="10" t="s">
        <v>36</v>
      </c>
      <c r="J39" s="23" t="s">
        <v>72</v>
      </c>
      <c r="K39" s="10" t="s">
        <v>65</v>
      </c>
      <c r="L39" s="10" t="s">
        <v>84</v>
      </c>
      <c r="M39" s="10" t="s">
        <v>85</v>
      </c>
      <c r="N39" s="10"/>
      <c r="O39" s="15"/>
      <c r="P39" s="15" t="s">
        <v>86</v>
      </c>
      <c r="Q39" s="10" t="s">
        <v>80</v>
      </c>
      <c r="R39" s="11"/>
      <c r="S39" s="10"/>
      <c r="T39" s="10" t="s">
        <v>228</v>
      </c>
      <c r="U39" s="45">
        <v>100</v>
      </c>
      <c r="V39" s="10" t="s">
        <v>220</v>
      </c>
    </row>
    <row r="40" spans="1:22" ht="31.5" customHeight="1" x14ac:dyDescent="1.1000000000000001">
      <c r="A40" s="48"/>
      <c r="B40" s="10" t="s">
        <v>81</v>
      </c>
      <c r="C40" s="10" t="s">
        <v>82</v>
      </c>
      <c r="D40" s="11">
        <v>46137</v>
      </c>
      <c r="E40" s="10" t="s">
        <v>83</v>
      </c>
      <c r="F40" s="10" t="s">
        <v>122</v>
      </c>
      <c r="G40" s="12"/>
      <c r="H40" s="13" t="str">
        <f>IF(G40="","",IFERROR(G40/Settings!$B$3,""))</f>
        <v/>
      </c>
      <c r="I40" s="10" t="s">
        <v>36</v>
      </c>
      <c r="J40" s="23" t="s">
        <v>72</v>
      </c>
      <c r="K40" s="10" t="s">
        <v>65</v>
      </c>
      <c r="L40" s="10" t="s">
        <v>84</v>
      </c>
      <c r="M40" s="10" t="s">
        <v>85</v>
      </c>
      <c r="N40" s="10"/>
      <c r="O40" s="15"/>
      <c r="P40" s="15" t="s">
        <v>86</v>
      </c>
      <c r="Q40" s="10" t="s">
        <v>80</v>
      </c>
      <c r="R40" s="11"/>
      <c r="S40" s="10"/>
      <c r="T40" s="10" t="s">
        <v>229</v>
      </c>
      <c r="U40" s="45">
        <v>500</v>
      </c>
      <c r="V40" s="10" t="s">
        <v>220</v>
      </c>
    </row>
    <row r="41" spans="1:22" ht="31.5" customHeight="1" x14ac:dyDescent="1.1000000000000001">
      <c r="A41" s="48"/>
      <c r="B41" s="10" t="s">
        <v>81</v>
      </c>
      <c r="C41" s="10" t="s">
        <v>82</v>
      </c>
      <c r="D41" s="11">
        <v>46138</v>
      </c>
      <c r="E41" s="10" t="s">
        <v>83</v>
      </c>
      <c r="F41" s="10" t="s">
        <v>122</v>
      </c>
      <c r="G41" s="12"/>
      <c r="H41" s="13" t="str">
        <f>IF(G41="","",IFERROR(G41/Settings!$B$3,""))</f>
        <v/>
      </c>
      <c r="I41" s="10" t="s">
        <v>36</v>
      </c>
      <c r="J41" s="23" t="s">
        <v>72</v>
      </c>
      <c r="K41" s="10" t="s">
        <v>65</v>
      </c>
      <c r="L41" s="10" t="s">
        <v>84</v>
      </c>
      <c r="M41" s="10" t="s">
        <v>85</v>
      </c>
      <c r="N41" s="10"/>
      <c r="O41" s="15"/>
      <c r="P41" s="15" t="s">
        <v>86</v>
      </c>
      <c r="Q41" s="10" t="s">
        <v>80</v>
      </c>
      <c r="R41" s="11"/>
      <c r="S41" s="10"/>
      <c r="T41" s="10" t="s">
        <v>230</v>
      </c>
      <c r="U41" s="45">
        <v>200</v>
      </c>
      <c r="V41" s="10" t="s">
        <v>220</v>
      </c>
    </row>
    <row r="42" spans="1:22" ht="31.5" customHeight="1" x14ac:dyDescent="1.1000000000000001">
      <c r="A42" s="48"/>
      <c r="B42" s="10" t="s">
        <v>81</v>
      </c>
      <c r="C42" s="10" t="s">
        <v>82</v>
      </c>
      <c r="D42" s="11">
        <v>46139</v>
      </c>
      <c r="E42" s="10" t="s">
        <v>83</v>
      </c>
      <c r="F42" s="10" t="s">
        <v>122</v>
      </c>
      <c r="G42" s="12"/>
      <c r="H42" s="13" t="str">
        <f>IF(G42="","",IFERROR(G42/Settings!$B$3,""))</f>
        <v/>
      </c>
      <c r="I42" s="10" t="s">
        <v>36</v>
      </c>
      <c r="J42" s="23" t="s">
        <v>72</v>
      </c>
      <c r="K42" s="10" t="s">
        <v>65</v>
      </c>
      <c r="L42" s="10" t="s">
        <v>84</v>
      </c>
      <c r="M42" s="10" t="s">
        <v>85</v>
      </c>
      <c r="N42" s="10"/>
      <c r="O42" s="15"/>
      <c r="P42" s="15" t="s">
        <v>86</v>
      </c>
      <c r="Q42" s="10" t="s">
        <v>80</v>
      </c>
      <c r="R42" s="11"/>
      <c r="S42" s="10"/>
      <c r="T42" s="10" t="s">
        <v>231</v>
      </c>
      <c r="U42" s="45">
        <v>100</v>
      </c>
      <c r="V42" s="10" t="s">
        <v>220</v>
      </c>
    </row>
    <row r="43" spans="1:22" ht="31.5" customHeight="1" x14ac:dyDescent="1.1000000000000001">
      <c r="A43" s="48"/>
      <c r="B43" s="10" t="s">
        <v>81</v>
      </c>
      <c r="C43" s="10" t="s">
        <v>82</v>
      </c>
      <c r="D43" s="11">
        <v>46140</v>
      </c>
      <c r="E43" s="10" t="s">
        <v>83</v>
      </c>
      <c r="F43" s="10" t="s">
        <v>122</v>
      </c>
      <c r="G43" s="12"/>
      <c r="H43" s="13" t="str">
        <f>IF(G43="","",IFERROR(G43/Settings!$B$3,""))</f>
        <v/>
      </c>
      <c r="I43" s="10" t="s">
        <v>36</v>
      </c>
      <c r="J43" s="23" t="s">
        <v>72</v>
      </c>
      <c r="K43" s="10" t="s">
        <v>65</v>
      </c>
      <c r="L43" s="10" t="s">
        <v>84</v>
      </c>
      <c r="M43" s="10" t="s">
        <v>85</v>
      </c>
      <c r="N43" s="10"/>
      <c r="O43" s="15"/>
      <c r="P43" s="15" t="s">
        <v>86</v>
      </c>
      <c r="Q43" s="10" t="s">
        <v>80</v>
      </c>
      <c r="R43" s="11"/>
      <c r="S43" s="10"/>
      <c r="T43" s="10" t="s">
        <v>232</v>
      </c>
      <c r="U43" s="45">
        <v>500</v>
      </c>
      <c r="V43" s="10" t="s">
        <v>220</v>
      </c>
    </row>
    <row r="44" spans="1:22" ht="31.5" customHeight="1" x14ac:dyDescent="1.1000000000000001">
      <c r="A44" s="48"/>
      <c r="B44" s="10" t="s">
        <v>81</v>
      </c>
      <c r="C44" s="10" t="s">
        <v>82</v>
      </c>
      <c r="D44" s="11">
        <v>46141</v>
      </c>
      <c r="E44" s="10" t="s">
        <v>83</v>
      </c>
      <c r="F44" s="10" t="s">
        <v>122</v>
      </c>
      <c r="G44" s="12"/>
      <c r="H44" s="13" t="str">
        <f>IF(G44="","",IFERROR(G44/Settings!$B$3,""))</f>
        <v/>
      </c>
      <c r="I44" s="10" t="s">
        <v>36</v>
      </c>
      <c r="J44" s="23" t="s">
        <v>72</v>
      </c>
      <c r="K44" s="10" t="s">
        <v>65</v>
      </c>
      <c r="L44" s="10" t="s">
        <v>84</v>
      </c>
      <c r="M44" s="10" t="s">
        <v>85</v>
      </c>
      <c r="N44" s="10"/>
      <c r="O44" s="15"/>
      <c r="P44" s="15" t="s">
        <v>86</v>
      </c>
      <c r="Q44" s="10" t="s">
        <v>80</v>
      </c>
      <c r="R44" s="11"/>
      <c r="S44" s="10"/>
      <c r="T44" s="10" t="s">
        <v>233</v>
      </c>
      <c r="U44" s="45">
        <v>500</v>
      </c>
      <c r="V44" s="10" t="s">
        <v>220</v>
      </c>
    </row>
    <row r="45" spans="1:22" ht="31.5" customHeight="1" x14ac:dyDescent="1.1000000000000001">
      <c r="A45" s="48"/>
      <c r="B45" s="10" t="s">
        <v>81</v>
      </c>
      <c r="C45" s="10" t="s">
        <v>82</v>
      </c>
      <c r="D45" s="11">
        <v>46142</v>
      </c>
      <c r="E45" s="10" t="s">
        <v>83</v>
      </c>
      <c r="F45" s="10" t="s">
        <v>122</v>
      </c>
      <c r="G45" s="12"/>
      <c r="H45" s="13" t="str">
        <f>IF(G45="","",IFERROR(G45/Settings!$B$3,""))</f>
        <v/>
      </c>
      <c r="I45" s="10" t="s">
        <v>36</v>
      </c>
      <c r="J45" s="23" t="s">
        <v>72</v>
      </c>
      <c r="K45" s="10" t="s">
        <v>65</v>
      </c>
      <c r="L45" s="10" t="s">
        <v>84</v>
      </c>
      <c r="M45" s="10" t="s">
        <v>85</v>
      </c>
      <c r="N45" s="10"/>
      <c r="O45" s="15"/>
      <c r="P45" s="15" t="s">
        <v>86</v>
      </c>
      <c r="Q45" s="10" t="s">
        <v>80</v>
      </c>
      <c r="R45" s="11"/>
      <c r="S45" s="10"/>
      <c r="T45" s="10" t="s">
        <v>234</v>
      </c>
      <c r="U45" s="45">
        <v>60</v>
      </c>
      <c r="V45" s="10" t="s">
        <v>220</v>
      </c>
    </row>
    <row r="46" spans="1:22" ht="31.5" customHeight="1" x14ac:dyDescent="1.1000000000000001">
      <c r="A46" s="48"/>
      <c r="B46" s="10" t="s">
        <v>81</v>
      </c>
      <c r="C46" s="10" t="s">
        <v>82</v>
      </c>
      <c r="D46" s="11">
        <v>46143</v>
      </c>
      <c r="E46" s="10" t="s">
        <v>83</v>
      </c>
      <c r="F46" s="10" t="s">
        <v>122</v>
      </c>
      <c r="G46" s="12"/>
      <c r="H46" s="13" t="str">
        <f>IF(G46="","",IFERROR(G46/Settings!$B$3,""))</f>
        <v/>
      </c>
      <c r="I46" s="10" t="s">
        <v>36</v>
      </c>
      <c r="J46" s="23" t="s">
        <v>72</v>
      </c>
      <c r="K46" s="10" t="s">
        <v>65</v>
      </c>
      <c r="L46" s="10" t="s">
        <v>84</v>
      </c>
      <c r="M46" s="10" t="s">
        <v>85</v>
      </c>
      <c r="N46" s="10"/>
      <c r="O46" s="15"/>
      <c r="P46" s="15" t="s">
        <v>86</v>
      </c>
      <c r="Q46" s="10" t="s">
        <v>80</v>
      </c>
      <c r="R46" s="11"/>
      <c r="S46" s="10"/>
      <c r="T46" s="10" t="s">
        <v>235</v>
      </c>
      <c r="U46" s="45">
        <v>550</v>
      </c>
      <c r="V46" s="10" t="s">
        <v>220</v>
      </c>
    </row>
    <row r="47" spans="1:22" ht="31.5" customHeight="1" x14ac:dyDescent="1.1000000000000001">
      <c r="A47" s="48"/>
      <c r="B47" s="10" t="s">
        <v>81</v>
      </c>
      <c r="C47" s="10" t="s">
        <v>82</v>
      </c>
      <c r="D47" s="11">
        <v>46144</v>
      </c>
      <c r="E47" s="10" t="s">
        <v>83</v>
      </c>
      <c r="F47" s="10" t="s">
        <v>122</v>
      </c>
      <c r="G47" s="12"/>
      <c r="H47" s="13" t="str">
        <f>IF(G47="","",IFERROR(G47/Settings!$B$3,""))</f>
        <v/>
      </c>
      <c r="I47" s="10" t="s">
        <v>36</v>
      </c>
      <c r="J47" s="23" t="s">
        <v>72</v>
      </c>
      <c r="K47" s="10" t="s">
        <v>65</v>
      </c>
      <c r="L47" s="10" t="s">
        <v>84</v>
      </c>
      <c r="M47" s="10" t="s">
        <v>85</v>
      </c>
      <c r="N47" s="10"/>
      <c r="O47" s="15"/>
      <c r="P47" s="15" t="s">
        <v>86</v>
      </c>
      <c r="Q47" s="10" t="s">
        <v>80</v>
      </c>
      <c r="R47" s="11"/>
      <c r="S47" s="10"/>
      <c r="T47" s="10" t="s">
        <v>236</v>
      </c>
      <c r="U47" s="45">
        <v>70</v>
      </c>
      <c r="V47" s="10" t="s">
        <v>213</v>
      </c>
    </row>
    <row r="48" spans="1:22" ht="31.5" customHeight="1" x14ac:dyDescent="1.1000000000000001">
      <c r="A48" s="48"/>
      <c r="B48" s="10" t="s">
        <v>81</v>
      </c>
      <c r="C48" s="10" t="s">
        <v>82</v>
      </c>
      <c r="D48" s="11">
        <v>46145</v>
      </c>
      <c r="E48" s="10" t="s">
        <v>83</v>
      </c>
      <c r="F48" s="10" t="s">
        <v>122</v>
      </c>
      <c r="G48" s="12"/>
      <c r="H48" s="13" t="str">
        <f>IF(G48="","",IFERROR(G48/Settings!$B$3,""))</f>
        <v/>
      </c>
      <c r="I48" s="10" t="s">
        <v>36</v>
      </c>
      <c r="J48" s="23" t="s">
        <v>72</v>
      </c>
      <c r="K48" s="10" t="s">
        <v>65</v>
      </c>
      <c r="L48" s="10" t="s">
        <v>84</v>
      </c>
      <c r="M48" s="10" t="s">
        <v>85</v>
      </c>
      <c r="N48" s="10"/>
      <c r="O48" s="15"/>
      <c r="P48" s="15" t="s">
        <v>86</v>
      </c>
      <c r="Q48" s="10" t="s">
        <v>80</v>
      </c>
      <c r="R48" s="11"/>
      <c r="S48" s="10"/>
      <c r="T48" s="10" t="s">
        <v>237</v>
      </c>
      <c r="U48" s="45">
        <v>10</v>
      </c>
      <c r="V48" s="10" t="s">
        <v>213</v>
      </c>
    </row>
    <row r="49" spans="1:22" ht="31.5" customHeight="1" x14ac:dyDescent="1.1000000000000001">
      <c r="A49" s="48"/>
      <c r="B49" s="10" t="s">
        <v>81</v>
      </c>
      <c r="C49" s="10" t="s">
        <v>82</v>
      </c>
      <c r="D49" s="11">
        <v>46146</v>
      </c>
      <c r="E49" s="10" t="s">
        <v>83</v>
      </c>
      <c r="F49" s="10" t="s">
        <v>122</v>
      </c>
      <c r="G49" s="12"/>
      <c r="H49" s="13" t="str">
        <f>IF(G49="","",IFERROR(G49/Settings!$B$3,""))</f>
        <v/>
      </c>
      <c r="I49" s="10" t="s">
        <v>36</v>
      </c>
      <c r="J49" s="23" t="s">
        <v>72</v>
      </c>
      <c r="K49" s="10" t="s">
        <v>65</v>
      </c>
      <c r="L49" s="10" t="s">
        <v>84</v>
      </c>
      <c r="M49" s="10" t="s">
        <v>85</v>
      </c>
      <c r="N49" s="10"/>
      <c r="O49" s="15"/>
      <c r="P49" s="15" t="s">
        <v>86</v>
      </c>
      <c r="Q49" s="10" t="s">
        <v>80</v>
      </c>
      <c r="R49" s="11"/>
      <c r="S49" s="10"/>
      <c r="T49" s="10" t="s">
        <v>238</v>
      </c>
      <c r="U49" s="45">
        <v>375</v>
      </c>
      <c r="V49" s="10" t="s">
        <v>213</v>
      </c>
    </row>
    <row r="50" spans="1:22" ht="31.5" customHeight="1" x14ac:dyDescent="1.1000000000000001">
      <c r="A50" s="48"/>
      <c r="B50" s="10" t="s">
        <v>81</v>
      </c>
      <c r="C50" s="10" t="s">
        <v>82</v>
      </c>
      <c r="D50" s="11">
        <v>46147</v>
      </c>
      <c r="E50" s="10" t="s">
        <v>83</v>
      </c>
      <c r="F50" s="10" t="s">
        <v>122</v>
      </c>
      <c r="G50" s="12"/>
      <c r="H50" s="13" t="str">
        <f>IF(G50="","",IFERROR(G50/Settings!$B$3,""))</f>
        <v/>
      </c>
      <c r="I50" s="10" t="s">
        <v>36</v>
      </c>
      <c r="J50" s="23" t="s">
        <v>72</v>
      </c>
      <c r="K50" s="10" t="s">
        <v>65</v>
      </c>
      <c r="L50" s="10" t="s">
        <v>84</v>
      </c>
      <c r="M50" s="10" t="s">
        <v>85</v>
      </c>
      <c r="N50" s="10"/>
      <c r="O50" s="15"/>
      <c r="P50" s="15" t="s">
        <v>86</v>
      </c>
      <c r="Q50" s="10" t="s">
        <v>80</v>
      </c>
      <c r="R50" s="11"/>
      <c r="S50" s="10"/>
      <c r="T50" s="10" t="s">
        <v>239</v>
      </c>
      <c r="U50" s="45">
        <v>60</v>
      </c>
      <c r="V50" s="10" t="s">
        <v>213</v>
      </c>
    </row>
    <row r="51" spans="1:22" ht="31.5" customHeight="1" x14ac:dyDescent="1.1000000000000001">
      <c r="A51" s="48"/>
      <c r="B51" s="10" t="s">
        <v>81</v>
      </c>
      <c r="C51" s="10" t="s">
        <v>82</v>
      </c>
      <c r="D51" s="11">
        <v>46148</v>
      </c>
      <c r="E51" s="10" t="s">
        <v>83</v>
      </c>
      <c r="F51" s="10" t="s">
        <v>122</v>
      </c>
      <c r="G51" s="12"/>
      <c r="H51" s="13" t="str">
        <f>IF(G51="","",IFERROR(G51/Settings!$B$3,""))</f>
        <v/>
      </c>
      <c r="I51" s="10" t="s">
        <v>36</v>
      </c>
      <c r="J51" s="23" t="s">
        <v>72</v>
      </c>
      <c r="K51" s="10" t="s">
        <v>65</v>
      </c>
      <c r="L51" s="10" t="s">
        <v>84</v>
      </c>
      <c r="M51" s="10" t="s">
        <v>85</v>
      </c>
      <c r="N51" s="10"/>
      <c r="O51" s="15"/>
      <c r="P51" s="15" t="s">
        <v>86</v>
      </c>
      <c r="Q51" s="10" t="s">
        <v>80</v>
      </c>
      <c r="R51" s="11"/>
      <c r="S51" s="10"/>
      <c r="T51" s="10" t="s">
        <v>240</v>
      </c>
      <c r="U51" s="45">
        <v>100</v>
      </c>
      <c r="V51" s="10" t="s">
        <v>213</v>
      </c>
    </row>
    <row r="52" spans="1:22" ht="31.5" customHeight="1" x14ac:dyDescent="1.1000000000000001">
      <c r="A52" s="48"/>
      <c r="B52" s="10" t="s">
        <v>81</v>
      </c>
      <c r="C52" s="10" t="s">
        <v>82</v>
      </c>
      <c r="D52" s="11">
        <v>46149</v>
      </c>
      <c r="E52" s="10" t="s">
        <v>83</v>
      </c>
      <c r="F52" s="10" t="s">
        <v>122</v>
      </c>
      <c r="G52" s="12"/>
      <c r="H52" s="13" t="str">
        <f>IF(G52="","",IFERROR(G52/Settings!$B$3,""))</f>
        <v/>
      </c>
      <c r="I52" s="10" t="s">
        <v>36</v>
      </c>
      <c r="J52" s="23" t="s">
        <v>72</v>
      </c>
      <c r="K52" s="10" t="s">
        <v>65</v>
      </c>
      <c r="L52" s="10" t="s">
        <v>84</v>
      </c>
      <c r="M52" s="10" t="s">
        <v>85</v>
      </c>
      <c r="N52" s="10"/>
      <c r="O52" s="15"/>
      <c r="P52" s="15" t="s">
        <v>86</v>
      </c>
      <c r="Q52" s="10" t="s">
        <v>80</v>
      </c>
      <c r="R52" s="11"/>
      <c r="S52" s="10"/>
      <c r="T52" s="10" t="s">
        <v>241</v>
      </c>
      <c r="U52" s="45">
        <v>150</v>
      </c>
      <c r="V52" s="10" t="s">
        <v>213</v>
      </c>
    </row>
    <row r="53" spans="1:22" ht="31.5" customHeight="1" x14ac:dyDescent="1.1000000000000001">
      <c r="A53" s="48"/>
      <c r="B53" s="10" t="s">
        <v>81</v>
      </c>
      <c r="C53" s="10" t="s">
        <v>82</v>
      </c>
      <c r="D53" s="11">
        <v>46150</v>
      </c>
      <c r="E53" s="10" t="s">
        <v>83</v>
      </c>
      <c r="F53" s="10" t="s">
        <v>122</v>
      </c>
      <c r="G53" s="12"/>
      <c r="H53" s="13" t="str">
        <f>IF(G53="","",IFERROR(G53/Settings!$B$3,""))</f>
        <v/>
      </c>
      <c r="I53" s="10" t="s">
        <v>36</v>
      </c>
      <c r="J53" s="23" t="s">
        <v>72</v>
      </c>
      <c r="K53" s="10" t="s">
        <v>65</v>
      </c>
      <c r="L53" s="10" t="s">
        <v>84</v>
      </c>
      <c r="M53" s="10" t="s">
        <v>85</v>
      </c>
      <c r="N53" s="10"/>
      <c r="O53" s="15"/>
      <c r="P53" s="15" t="s">
        <v>86</v>
      </c>
      <c r="Q53" s="10" t="s">
        <v>80</v>
      </c>
      <c r="R53" s="11"/>
      <c r="S53" s="10"/>
      <c r="T53" s="10" t="s">
        <v>242</v>
      </c>
      <c r="U53" s="45">
        <v>150</v>
      </c>
      <c r="V53" s="10" t="s">
        <v>213</v>
      </c>
    </row>
    <row r="54" spans="1:22" ht="31.5" customHeight="1" x14ac:dyDescent="1.1000000000000001">
      <c r="A54" s="48"/>
      <c r="B54" s="10" t="s">
        <v>81</v>
      </c>
      <c r="C54" s="10" t="s">
        <v>82</v>
      </c>
      <c r="D54" s="11">
        <v>46151</v>
      </c>
      <c r="E54" s="10" t="s">
        <v>83</v>
      </c>
      <c r="F54" s="10" t="s">
        <v>122</v>
      </c>
      <c r="G54" s="12"/>
      <c r="H54" s="13" t="str">
        <f>IF(G54="","",IFERROR(G54/Settings!$B$3,""))</f>
        <v/>
      </c>
      <c r="I54" s="10" t="s">
        <v>36</v>
      </c>
      <c r="J54" s="23" t="s">
        <v>72</v>
      </c>
      <c r="K54" s="10" t="s">
        <v>65</v>
      </c>
      <c r="L54" s="10" t="s">
        <v>84</v>
      </c>
      <c r="M54" s="10" t="s">
        <v>85</v>
      </c>
      <c r="N54" s="10"/>
      <c r="O54" s="15"/>
      <c r="P54" s="15" t="s">
        <v>86</v>
      </c>
      <c r="Q54" s="10" t="s">
        <v>80</v>
      </c>
      <c r="R54" s="11"/>
      <c r="S54" s="10"/>
      <c r="T54" s="10" t="s">
        <v>243</v>
      </c>
      <c r="U54" s="45">
        <v>400</v>
      </c>
      <c r="V54" s="10" t="s">
        <v>213</v>
      </c>
    </row>
    <row r="55" spans="1:22" ht="31.5" customHeight="1" x14ac:dyDescent="1.1000000000000001">
      <c r="A55" s="48"/>
      <c r="B55" s="10" t="s">
        <v>81</v>
      </c>
      <c r="C55" s="10" t="s">
        <v>82</v>
      </c>
      <c r="D55" s="11">
        <v>46152</v>
      </c>
      <c r="E55" s="10" t="s">
        <v>83</v>
      </c>
      <c r="F55" s="10" t="s">
        <v>122</v>
      </c>
      <c r="G55" s="12"/>
      <c r="H55" s="13" t="str">
        <f>IF(G55="","",IFERROR(G55/Settings!$B$3,""))</f>
        <v/>
      </c>
      <c r="I55" s="10" t="s">
        <v>36</v>
      </c>
      <c r="J55" s="23" t="s">
        <v>72</v>
      </c>
      <c r="K55" s="10" t="s">
        <v>65</v>
      </c>
      <c r="L55" s="10" t="s">
        <v>84</v>
      </c>
      <c r="M55" s="10" t="s">
        <v>85</v>
      </c>
      <c r="N55" s="10"/>
      <c r="O55" s="15"/>
      <c r="P55" s="15" t="s">
        <v>86</v>
      </c>
      <c r="Q55" s="10" t="s">
        <v>80</v>
      </c>
      <c r="R55" s="11"/>
      <c r="S55" s="10"/>
      <c r="T55" s="10" t="s">
        <v>244</v>
      </c>
      <c r="U55" s="45">
        <v>500</v>
      </c>
      <c r="V55" s="10" t="s">
        <v>213</v>
      </c>
    </row>
    <row r="56" spans="1:22" ht="31.5" customHeight="1" x14ac:dyDescent="1.1000000000000001">
      <c r="A56" s="48"/>
      <c r="B56" s="10" t="s">
        <v>81</v>
      </c>
      <c r="C56" s="10" t="s">
        <v>82</v>
      </c>
      <c r="D56" s="11">
        <v>46153</v>
      </c>
      <c r="E56" s="10" t="s">
        <v>83</v>
      </c>
      <c r="F56" s="10" t="s">
        <v>122</v>
      </c>
      <c r="G56" s="12"/>
      <c r="H56" s="13" t="str">
        <f>IF(G56="","",IFERROR(G56/Settings!$B$3,""))</f>
        <v/>
      </c>
      <c r="I56" s="10" t="s">
        <v>36</v>
      </c>
      <c r="J56" s="23" t="s">
        <v>72</v>
      </c>
      <c r="K56" s="10" t="s">
        <v>65</v>
      </c>
      <c r="L56" s="10" t="s">
        <v>84</v>
      </c>
      <c r="M56" s="10" t="s">
        <v>85</v>
      </c>
      <c r="N56" s="10"/>
      <c r="O56" s="15"/>
      <c r="P56" s="15" t="s">
        <v>86</v>
      </c>
      <c r="Q56" s="10" t="s">
        <v>80</v>
      </c>
      <c r="R56" s="11"/>
      <c r="S56" s="10"/>
      <c r="T56" s="10" t="s">
        <v>245</v>
      </c>
      <c r="U56" s="45">
        <v>350</v>
      </c>
      <c r="V56" s="10" t="s">
        <v>213</v>
      </c>
    </row>
    <row r="57" spans="1:22" ht="31.5" customHeight="1" x14ac:dyDescent="1.1000000000000001">
      <c r="A57" s="48"/>
      <c r="B57" s="10" t="s">
        <v>81</v>
      </c>
      <c r="C57" s="10" t="s">
        <v>82</v>
      </c>
      <c r="D57" s="11">
        <v>46154</v>
      </c>
      <c r="E57" s="10" t="s">
        <v>83</v>
      </c>
      <c r="F57" s="10" t="s">
        <v>122</v>
      </c>
      <c r="G57" s="12"/>
      <c r="H57" s="13" t="str">
        <f>IF(G57="","",IFERROR(G57/Settings!$B$3,""))</f>
        <v/>
      </c>
      <c r="I57" s="10" t="s">
        <v>36</v>
      </c>
      <c r="J57" s="23" t="s">
        <v>72</v>
      </c>
      <c r="K57" s="10" t="s">
        <v>65</v>
      </c>
      <c r="L57" s="10" t="s">
        <v>84</v>
      </c>
      <c r="M57" s="10" t="s">
        <v>85</v>
      </c>
      <c r="N57" s="10"/>
      <c r="O57" s="15"/>
      <c r="P57" s="15" t="s">
        <v>86</v>
      </c>
      <c r="Q57" s="10" t="s">
        <v>80</v>
      </c>
      <c r="R57" s="11"/>
      <c r="S57" s="10"/>
      <c r="T57" s="10" t="s">
        <v>246</v>
      </c>
      <c r="U57" s="45">
        <v>30</v>
      </c>
      <c r="V57" s="10" t="s">
        <v>213</v>
      </c>
    </row>
    <row r="58" spans="1:22" ht="31.5" customHeight="1" x14ac:dyDescent="1.1000000000000001">
      <c r="A58" s="48"/>
      <c r="B58" s="10" t="s">
        <v>81</v>
      </c>
      <c r="C58" s="10" t="s">
        <v>82</v>
      </c>
      <c r="D58" s="11">
        <v>46155</v>
      </c>
      <c r="E58" s="10" t="s">
        <v>83</v>
      </c>
      <c r="F58" s="10" t="s">
        <v>122</v>
      </c>
      <c r="G58" s="12"/>
      <c r="H58" s="13" t="str">
        <f>IF(G58="","",IFERROR(G58/Settings!$B$3,""))</f>
        <v/>
      </c>
      <c r="I58" s="10" t="s">
        <v>36</v>
      </c>
      <c r="J58" s="23" t="s">
        <v>72</v>
      </c>
      <c r="K58" s="10" t="s">
        <v>65</v>
      </c>
      <c r="L58" s="10" t="s">
        <v>84</v>
      </c>
      <c r="M58" s="10" t="s">
        <v>85</v>
      </c>
      <c r="N58" s="10"/>
      <c r="O58" s="15"/>
      <c r="P58" s="15" t="s">
        <v>86</v>
      </c>
      <c r="Q58" s="10" t="s">
        <v>80</v>
      </c>
      <c r="R58" s="11"/>
      <c r="S58" s="10"/>
      <c r="T58" s="10" t="s">
        <v>247</v>
      </c>
      <c r="U58" s="45">
        <v>30</v>
      </c>
      <c r="V58" s="10" t="s">
        <v>213</v>
      </c>
    </row>
    <row r="59" spans="1:22" ht="31.5" customHeight="1" x14ac:dyDescent="1.1000000000000001">
      <c r="A59" s="48"/>
      <c r="B59" s="10" t="s">
        <v>81</v>
      </c>
      <c r="C59" s="10" t="s">
        <v>82</v>
      </c>
      <c r="D59" s="11">
        <v>46156</v>
      </c>
      <c r="E59" s="10" t="s">
        <v>83</v>
      </c>
      <c r="F59" s="10" t="s">
        <v>122</v>
      </c>
      <c r="G59" s="12"/>
      <c r="H59" s="13" t="str">
        <f>IF(G59="","",IFERROR(G59/Settings!$B$3,""))</f>
        <v/>
      </c>
      <c r="I59" s="10" t="s">
        <v>36</v>
      </c>
      <c r="J59" s="23" t="s">
        <v>72</v>
      </c>
      <c r="K59" s="10" t="s">
        <v>65</v>
      </c>
      <c r="L59" s="10" t="s">
        <v>84</v>
      </c>
      <c r="M59" s="10" t="s">
        <v>85</v>
      </c>
      <c r="N59" s="10"/>
      <c r="O59" s="15"/>
      <c r="P59" s="15" t="s">
        <v>86</v>
      </c>
      <c r="Q59" s="10" t="s">
        <v>80</v>
      </c>
      <c r="R59" s="11"/>
      <c r="S59" s="10"/>
      <c r="T59" s="10" t="s">
        <v>248</v>
      </c>
      <c r="U59" s="45">
        <v>30</v>
      </c>
      <c r="V59" s="10" t="s">
        <v>213</v>
      </c>
    </row>
    <row r="60" spans="1:22" ht="31.5" customHeight="1" x14ac:dyDescent="1.1000000000000001">
      <c r="A60" s="48"/>
      <c r="B60" s="10" t="s">
        <v>81</v>
      </c>
      <c r="C60" s="10" t="s">
        <v>82</v>
      </c>
      <c r="D60" s="11">
        <v>46157</v>
      </c>
      <c r="E60" s="10" t="s">
        <v>83</v>
      </c>
      <c r="F60" s="10" t="s">
        <v>122</v>
      </c>
      <c r="G60" s="12"/>
      <c r="H60" s="13" t="str">
        <f>IF(G60="","",IFERROR(G60/Settings!$B$3,""))</f>
        <v/>
      </c>
      <c r="I60" s="10" t="s">
        <v>36</v>
      </c>
      <c r="J60" s="23" t="s">
        <v>72</v>
      </c>
      <c r="K60" s="10" t="s">
        <v>65</v>
      </c>
      <c r="L60" s="10" t="s">
        <v>84</v>
      </c>
      <c r="M60" s="10" t="s">
        <v>85</v>
      </c>
      <c r="N60" s="10"/>
      <c r="O60" s="15"/>
      <c r="P60" s="15" t="s">
        <v>86</v>
      </c>
      <c r="Q60" s="10" t="s">
        <v>80</v>
      </c>
      <c r="R60" s="11"/>
      <c r="S60" s="10"/>
      <c r="T60" s="10" t="s">
        <v>249</v>
      </c>
      <c r="U60" s="45">
        <v>30</v>
      </c>
      <c r="V60" s="10" t="s">
        <v>213</v>
      </c>
    </row>
    <row r="61" spans="1:22" ht="31.5" customHeight="1" x14ac:dyDescent="1.1000000000000001">
      <c r="A61" s="48"/>
      <c r="B61" s="10" t="s">
        <v>81</v>
      </c>
      <c r="C61" s="10" t="s">
        <v>82</v>
      </c>
      <c r="D61" s="11">
        <v>46158</v>
      </c>
      <c r="E61" s="10" t="s">
        <v>83</v>
      </c>
      <c r="F61" s="10" t="s">
        <v>122</v>
      </c>
      <c r="G61" s="12"/>
      <c r="H61" s="13" t="str">
        <f>IF(G61="","",IFERROR(G61/Settings!$B$3,""))</f>
        <v/>
      </c>
      <c r="I61" s="10" t="s">
        <v>36</v>
      </c>
      <c r="J61" s="23" t="s">
        <v>72</v>
      </c>
      <c r="K61" s="10" t="s">
        <v>65</v>
      </c>
      <c r="L61" s="10" t="s">
        <v>84</v>
      </c>
      <c r="M61" s="10" t="s">
        <v>85</v>
      </c>
      <c r="N61" s="10"/>
      <c r="O61" s="15"/>
      <c r="P61" s="15" t="s">
        <v>86</v>
      </c>
      <c r="Q61" s="10" t="s">
        <v>80</v>
      </c>
      <c r="R61" s="11"/>
      <c r="S61" s="10"/>
      <c r="T61" s="10" t="s">
        <v>250</v>
      </c>
      <c r="U61" s="45">
        <v>500</v>
      </c>
      <c r="V61" s="10" t="s">
        <v>213</v>
      </c>
    </row>
    <row r="62" spans="1:22" ht="31.5" customHeight="1" x14ac:dyDescent="1.1000000000000001">
      <c r="A62" s="48"/>
      <c r="B62" s="10" t="s">
        <v>81</v>
      </c>
      <c r="C62" s="10" t="s">
        <v>82</v>
      </c>
      <c r="D62" s="11">
        <v>46159</v>
      </c>
      <c r="E62" s="10" t="s">
        <v>83</v>
      </c>
      <c r="F62" s="10" t="s">
        <v>122</v>
      </c>
      <c r="G62" s="12"/>
      <c r="H62" s="13" t="str">
        <f>IF(G62="","",IFERROR(G62/Settings!$B$3,""))</f>
        <v/>
      </c>
      <c r="I62" s="10" t="s">
        <v>36</v>
      </c>
      <c r="J62" s="23" t="s">
        <v>72</v>
      </c>
      <c r="K62" s="10" t="s">
        <v>65</v>
      </c>
      <c r="L62" s="10" t="s">
        <v>84</v>
      </c>
      <c r="M62" s="10" t="s">
        <v>85</v>
      </c>
      <c r="N62" s="10"/>
      <c r="O62" s="15"/>
      <c r="P62" s="15" t="s">
        <v>86</v>
      </c>
      <c r="Q62" s="10" t="s">
        <v>80</v>
      </c>
      <c r="R62" s="11"/>
      <c r="S62" s="10"/>
      <c r="T62" s="10" t="s">
        <v>251</v>
      </c>
      <c r="U62" s="45">
        <v>200</v>
      </c>
      <c r="V62" s="10" t="s">
        <v>213</v>
      </c>
    </row>
    <row r="63" spans="1:22" ht="31.5" customHeight="1" x14ac:dyDescent="1.1000000000000001">
      <c r="A63" s="48"/>
      <c r="B63" s="10" t="s">
        <v>81</v>
      </c>
      <c r="C63" s="10" t="s">
        <v>82</v>
      </c>
      <c r="D63" s="11">
        <v>46160</v>
      </c>
      <c r="E63" s="10" t="s">
        <v>83</v>
      </c>
      <c r="F63" s="10" t="s">
        <v>122</v>
      </c>
      <c r="G63" s="12"/>
      <c r="H63" s="13" t="str">
        <f>IF(G63="","",IFERROR(G63/Settings!$B$3,""))</f>
        <v/>
      </c>
      <c r="I63" s="10" t="s">
        <v>36</v>
      </c>
      <c r="J63" s="23" t="s">
        <v>72</v>
      </c>
      <c r="K63" s="10" t="s">
        <v>65</v>
      </c>
      <c r="L63" s="10" t="s">
        <v>84</v>
      </c>
      <c r="M63" s="10" t="s">
        <v>85</v>
      </c>
      <c r="N63" s="10"/>
      <c r="O63" s="15"/>
      <c r="P63" s="15" t="s">
        <v>86</v>
      </c>
      <c r="Q63" s="10" t="s">
        <v>80</v>
      </c>
      <c r="R63" s="11"/>
      <c r="S63" s="10"/>
      <c r="T63" s="10" t="s">
        <v>252</v>
      </c>
      <c r="U63" s="45">
        <v>100</v>
      </c>
      <c r="V63" s="10" t="s">
        <v>213</v>
      </c>
    </row>
    <row r="64" spans="1:22" ht="31.5" customHeight="1" x14ac:dyDescent="1.1000000000000001">
      <c r="A64" s="48"/>
      <c r="B64" s="10" t="s">
        <v>81</v>
      </c>
      <c r="C64" s="10" t="s">
        <v>82</v>
      </c>
      <c r="D64" s="11">
        <v>46161</v>
      </c>
      <c r="E64" s="10" t="s">
        <v>83</v>
      </c>
      <c r="F64" s="10" t="s">
        <v>122</v>
      </c>
      <c r="G64" s="12"/>
      <c r="H64" s="13" t="str">
        <f>IF(G64="","",IFERROR(G64/Settings!$B$3,""))</f>
        <v/>
      </c>
      <c r="I64" s="10" t="s">
        <v>36</v>
      </c>
      <c r="J64" s="23" t="s">
        <v>72</v>
      </c>
      <c r="K64" s="10" t="s">
        <v>65</v>
      </c>
      <c r="L64" s="10" t="s">
        <v>84</v>
      </c>
      <c r="M64" s="10" t="s">
        <v>85</v>
      </c>
      <c r="N64" s="10"/>
      <c r="O64" s="15"/>
      <c r="P64" s="15" t="s">
        <v>86</v>
      </c>
      <c r="Q64" s="10" t="s">
        <v>80</v>
      </c>
      <c r="R64" s="11"/>
      <c r="S64" s="10"/>
      <c r="T64" s="10" t="s">
        <v>253</v>
      </c>
      <c r="U64" s="45">
        <v>150</v>
      </c>
      <c r="V64" s="10" t="s">
        <v>213</v>
      </c>
    </row>
    <row r="65" spans="1:22" ht="31.5" customHeight="1" x14ac:dyDescent="1.1000000000000001">
      <c r="A65" s="48"/>
      <c r="B65" s="10" t="s">
        <v>81</v>
      </c>
      <c r="C65" s="10" t="s">
        <v>82</v>
      </c>
      <c r="D65" s="11">
        <v>46162</v>
      </c>
      <c r="E65" s="10" t="s">
        <v>83</v>
      </c>
      <c r="F65" s="10" t="s">
        <v>122</v>
      </c>
      <c r="G65" s="12"/>
      <c r="H65" s="13" t="str">
        <f>IF(G65="","",IFERROR(G65/Settings!$B$3,""))</f>
        <v/>
      </c>
      <c r="I65" s="10" t="s">
        <v>36</v>
      </c>
      <c r="J65" s="23" t="s">
        <v>72</v>
      </c>
      <c r="K65" s="10" t="s">
        <v>65</v>
      </c>
      <c r="L65" s="10" t="s">
        <v>84</v>
      </c>
      <c r="M65" s="10" t="s">
        <v>85</v>
      </c>
      <c r="N65" s="10"/>
      <c r="O65" s="15"/>
      <c r="P65" s="15" t="s">
        <v>86</v>
      </c>
      <c r="Q65" s="10" t="s">
        <v>80</v>
      </c>
      <c r="R65" s="11"/>
      <c r="S65" s="10"/>
      <c r="T65" s="10" t="s">
        <v>254</v>
      </c>
      <c r="U65" s="45">
        <v>125</v>
      </c>
      <c r="V65" s="10" t="s">
        <v>220</v>
      </c>
    </row>
    <row r="66" spans="1:22" ht="31.5" customHeight="1" x14ac:dyDescent="1.1000000000000001">
      <c r="A66" s="48"/>
      <c r="B66" s="10" t="s">
        <v>81</v>
      </c>
      <c r="C66" s="10" t="s">
        <v>82</v>
      </c>
      <c r="D66" s="11">
        <v>46163</v>
      </c>
      <c r="E66" s="10" t="s">
        <v>83</v>
      </c>
      <c r="F66" s="10" t="s">
        <v>122</v>
      </c>
      <c r="G66" s="12"/>
      <c r="H66" s="13" t="str">
        <f>IF(G66="","",IFERROR(G66/Settings!$B$3,""))</f>
        <v/>
      </c>
      <c r="I66" s="10" t="s">
        <v>36</v>
      </c>
      <c r="J66" s="23" t="s">
        <v>72</v>
      </c>
      <c r="K66" s="10" t="s">
        <v>65</v>
      </c>
      <c r="L66" s="10" t="s">
        <v>84</v>
      </c>
      <c r="M66" s="10" t="s">
        <v>85</v>
      </c>
      <c r="N66" s="10"/>
      <c r="O66" s="15"/>
      <c r="P66" s="15" t="s">
        <v>86</v>
      </c>
      <c r="Q66" s="10" t="s">
        <v>80</v>
      </c>
      <c r="R66" s="11"/>
      <c r="S66" s="10"/>
      <c r="T66" s="10" t="s">
        <v>255</v>
      </c>
      <c r="U66" s="45">
        <v>50</v>
      </c>
      <c r="V66" s="10" t="s">
        <v>220</v>
      </c>
    </row>
    <row r="67" spans="1:22" ht="31.5" customHeight="1" x14ac:dyDescent="1.1000000000000001">
      <c r="A67" s="48"/>
      <c r="B67" s="10" t="s">
        <v>81</v>
      </c>
      <c r="C67" s="10" t="s">
        <v>82</v>
      </c>
      <c r="D67" s="11">
        <v>46164</v>
      </c>
      <c r="E67" s="10" t="s">
        <v>83</v>
      </c>
      <c r="F67" s="10" t="s">
        <v>122</v>
      </c>
      <c r="G67" s="12"/>
      <c r="H67" s="13" t="str">
        <f>IF(G67="","",IFERROR(G67/Settings!$B$3,""))</f>
        <v/>
      </c>
      <c r="I67" s="10" t="s">
        <v>36</v>
      </c>
      <c r="J67" s="23" t="s">
        <v>72</v>
      </c>
      <c r="K67" s="10" t="s">
        <v>65</v>
      </c>
      <c r="L67" s="10" t="s">
        <v>84</v>
      </c>
      <c r="M67" s="10" t="s">
        <v>85</v>
      </c>
      <c r="N67" s="10"/>
      <c r="O67" s="15"/>
      <c r="P67" s="15" t="s">
        <v>86</v>
      </c>
      <c r="Q67" s="10" t="s">
        <v>80</v>
      </c>
      <c r="R67" s="11"/>
      <c r="S67" s="10"/>
      <c r="T67" s="10" t="s">
        <v>256</v>
      </c>
      <c r="U67" s="45">
        <v>25</v>
      </c>
      <c r="V67" s="10" t="s">
        <v>220</v>
      </c>
    </row>
    <row r="68" spans="1:22" ht="31.5" customHeight="1" x14ac:dyDescent="1.1000000000000001">
      <c r="A68" s="48"/>
      <c r="B68" s="10" t="s">
        <v>81</v>
      </c>
      <c r="C68" s="10" t="s">
        <v>82</v>
      </c>
      <c r="D68" s="11">
        <v>46165</v>
      </c>
      <c r="E68" s="10" t="s">
        <v>83</v>
      </c>
      <c r="F68" s="10" t="s">
        <v>122</v>
      </c>
      <c r="G68" s="12"/>
      <c r="H68" s="13" t="str">
        <f>IF(G68="","",IFERROR(G68/Settings!$B$3,""))</f>
        <v/>
      </c>
      <c r="I68" s="10" t="s">
        <v>36</v>
      </c>
      <c r="J68" s="23" t="s">
        <v>72</v>
      </c>
      <c r="K68" s="10" t="s">
        <v>65</v>
      </c>
      <c r="L68" s="10" t="s">
        <v>84</v>
      </c>
      <c r="M68" s="10" t="s">
        <v>85</v>
      </c>
      <c r="N68" s="10"/>
      <c r="O68" s="15"/>
      <c r="P68" s="15" t="s">
        <v>86</v>
      </c>
      <c r="Q68" s="10" t="s">
        <v>80</v>
      </c>
      <c r="R68" s="11"/>
      <c r="S68" s="10"/>
      <c r="T68" s="10" t="s">
        <v>257</v>
      </c>
      <c r="U68" s="45">
        <v>70</v>
      </c>
      <c r="V68" s="10" t="s">
        <v>220</v>
      </c>
    </row>
    <row r="69" spans="1:22" ht="31.5" customHeight="1" x14ac:dyDescent="1.1000000000000001">
      <c r="A69" s="48"/>
      <c r="B69" s="10" t="s">
        <v>81</v>
      </c>
      <c r="C69" s="10" t="s">
        <v>82</v>
      </c>
      <c r="D69" s="11">
        <v>46166</v>
      </c>
      <c r="E69" s="10" t="s">
        <v>83</v>
      </c>
      <c r="F69" s="10" t="s">
        <v>122</v>
      </c>
      <c r="G69" s="12"/>
      <c r="H69" s="13" t="str">
        <f>IF(G69="","",IFERROR(G69/Settings!$B$3,""))</f>
        <v/>
      </c>
      <c r="I69" s="10" t="s">
        <v>36</v>
      </c>
      <c r="J69" s="23" t="s">
        <v>72</v>
      </c>
      <c r="K69" s="10" t="s">
        <v>65</v>
      </c>
      <c r="L69" s="10" t="s">
        <v>84</v>
      </c>
      <c r="M69" s="10" t="s">
        <v>85</v>
      </c>
      <c r="N69" s="10"/>
      <c r="O69" s="15"/>
      <c r="P69" s="15" t="s">
        <v>86</v>
      </c>
      <c r="Q69" s="10" t="s">
        <v>80</v>
      </c>
      <c r="R69" s="11"/>
      <c r="S69" s="10"/>
      <c r="T69" s="10" t="s">
        <v>258</v>
      </c>
      <c r="U69" s="45">
        <v>160</v>
      </c>
      <c r="V69" s="10" t="s">
        <v>220</v>
      </c>
    </row>
    <row r="70" spans="1:22" ht="31.5" customHeight="1" x14ac:dyDescent="1.1000000000000001">
      <c r="A70" s="48"/>
      <c r="B70" s="10" t="s">
        <v>81</v>
      </c>
      <c r="C70" s="10" t="s">
        <v>82</v>
      </c>
      <c r="D70" s="11">
        <v>46167</v>
      </c>
      <c r="E70" s="10" t="s">
        <v>83</v>
      </c>
      <c r="F70" s="10" t="s">
        <v>122</v>
      </c>
      <c r="G70" s="12"/>
      <c r="H70" s="13" t="str">
        <f>IF(G70="","",IFERROR(G70/Settings!$B$3,""))</f>
        <v/>
      </c>
      <c r="I70" s="10" t="s">
        <v>36</v>
      </c>
      <c r="J70" s="23" t="s">
        <v>72</v>
      </c>
      <c r="K70" s="10" t="s">
        <v>65</v>
      </c>
      <c r="L70" s="10" t="s">
        <v>84</v>
      </c>
      <c r="M70" s="10" t="s">
        <v>85</v>
      </c>
      <c r="N70" s="10"/>
      <c r="O70" s="15"/>
      <c r="P70" s="15" t="s">
        <v>86</v>
      </c>
      <c r="Q70" s="10" t="s">
        <v>80</v>
      </c>
      <c r="R70" s="11"/>
      <c r="S70" s="10"/>
      <c r="T70" s="10" t="s">
        <v>259</v>
      </c>
      <c r="U70" s="45">
        <v>150</v>
      </c>
      <c r="V70" s="10" t="s">
        <v>220</v>
      </c>
    </row>
    <row r="71" spans="1:22" ht="31.5" customHeight="1" x14ac:dyDescent="1.1000000000000001">
      <c r="A71" s="48"/>
      <c r="B71" s="10" t="s">
        <v>81</v>
      </c>
      <c r="C71" s="10" t="s">
        <v>82</v>
      </c>
      <c r="D71" s="11">
        <v>46168</v>
      </c>
      <c r="E71" s="10" t="s">
        <v>83</v>
      </c>
      <c r="F71" s="10" t="s">
        <v>122</v>
      </c>
      <c r="G71" s="12"/>
      <c r="H71" s="13" t="str">
        <f>IF(G71="","",IFERROR(G71/Settings!$B$3,""))</f>
        <v/>
      </c>
      <c r="I71" s="10" t="s">
        <v>36</v>
      </c>
      <c r="J71" s="23" t="s">
        <v>72</v>
      </c>
      <c r="K71" s="10" t="s">
        <v>65</v>
      </c>
      <c r="L71" s="10" t="s">
        <v>84</v>
      </c>
      <c r="M71" s="10" t="s">
        <v>85</v>
      </c>
      <c r="N71" s="10"/>
      <c r="O71" s="15"/>
      <c r="P71" s="15" t="s">
        <v>86</v>
      </c>
      <c r="Q71" s="10" t="s">
        <v>80</v>
      </c>
      <c r="R71" s="11"/>
      <c r="S71" s="10"/>
      <c r="T71" s="10" t="s">
        <v>260</v>
      </c>
      <c r="U71" s="45">
        <v>600</v>
      </c>
      <c r="V71" s="10" t="s">
        <v>220</v>
      </c>
    </row>
    <row r="72" spans="1:22" ht="31.5" customHeight="1" x14ac:dyDescent="1.1000000000000001">
      <c r="A72" s="48"/>
      <c r="B72" s="10" t="s">
        <v>81</v>
      </c>
      <c r="C72" s="10" t="s">
        <v>82</v>
      </c>
      <c r="D72" s="11">
        <v>46169</v>
      </c>
      <c r="E72" s="10" t="s">
        <v>83</v>
      </c>
      <c r="F72" s="10" t="s">
        <v>122</v>
      </c>
      <c r="G72" s="12"/>
      <c r="H72" s="13" t="str">
        <f>IF(G72="","",IFERROR(G72/Settings!$B$3,""))</f>
        <v/>
      </c>
      <c r="I72" s="10" t="s">
        <v>36</v>
      </c>
      <c r="J72" s="23" t="s">
        <v>72</v>
      </c>
      <c r="K72" s="10" t="s">
        <v>65</v>
      </c>
      <c r="L72" s="10" t="s">
        <v>84</v>
      </c>
      <c r="M72" s="10" t="s">
        <v>85</v>
      </c>
      <c r="N72" s="10"/>
      <c r="O72" s="15"/>
      <c r="P72" s="15" t="s">
        <v>86</v>
      </c>
      <c r="Q72" s="10" t="s">
        <v>80</v>
      </c>
      <c r="R72" s="11"/>
      <c r="S72" s="10"/>
      <c r="T72" s="10" t="s">
        <v>261</v>
      </c>
      <c r="U72" s="45">
        <v>10</v>
      </c>
      <c r="V72" s="10" t="s">
        <v>220</v>
      </c>
    </row>
    <row r="73" spans="1:22" ht="31.5" customHeight="1" x14ac:dyDescent="1.1000000000000001">
      <c r="A73" s="48"/>
      <c r="B73" s="10" t="s">
        <v>81</v>
      </c>
      <c r="C73" s="10" t="s">
        <v>82</v>
      </c>
      <c r="D73" s="11">
        <v>46170</v>
      </c>
      <c r="E73" s="10" t="s">
        <v>83</v>
      </c>
      <c r="F73" s="10" t="s">
        <v>122</v>
      </c>
      <c r="G73" s="12"/>
      <c r="H73" s="13" t="str">
        <f>IF(G73="","",IFERROR(G73/Settings!$B$3,""))</f>
        <v/>
      </c>
      <c r="I73" s="10" t="s">
        <v>36</v>
      </c>
      <c r="J73" s="23" t="s">
        <v>72</v>
      </c>
      <c r="K73" s="10" t="s">
        <v>65</v>
      </c>
      <c r="L73" s="10" t="s">
        <v>84</v>
      </c>
      <c r="M73" s="10" t="s">
        <v>85</v>
      </c>
      <c r="N73" s="10"/>
      <c r="O73" s="15"/>
      <c r="P73" s="15" t="s">
        <v>86</v>
      </c>
      <c r="Q73" s="10" t="s">
        <v>80</v>
      </c>
      <c r="R73" s="11"/>
      <c r="S73" s="10"/>
      <c r="T73" s="10" t="s">
        <v>262</v>
      </c>
      <c r="U73" s="45">
        <v>10</v>
      </c>
      <c r="V73" s="10" t="s">
        <v>220</v>
      </c>
    </row>
    <row r="74" spans="1:22" ht="31.5" customHeight="1" x14ac:dyDescent="1.1000000000000001">
      <c r="A74" s="48"/>
      <c r="B74" s="10" t="s">
        <v>81</v>
      </c>
      <c r="C74" s="10" t="s">
        <v>82</v>
      </c>
      <c r="D74" s="11">
        <v>46171</v>
      </c>
      <c r="E74" s="10" t="s">
        <v>83</v>
      </c>
      <c r="F74" s="10" t="s">
        <v>122</v>
      </c>
      <c r="G74" s="12"/>
      <c r="H74" s="13" t="str">
        <f>IF(G74="","",IFERROR(G74/Settings!$B$3,""))</f>
        <v/>
      </c>
      <c r="I74" s="10" t="s">
        <v>36</v>
      </c>
      <c r="J74" s="23" t="s">
        <v>72</v>
      </c>
      <c r="K74" s="10" t="s">
        <v>65</v>
      </c>
      <c r="L74" s="10" t="s">
        <v>84</v>
      </c>
      <c r="M74" s="10" t="s">
        <v>85</v>
      </c>
      <c r="N74" s="10"/>
      <c r="O74" s="15"/>
      <c r="P74" s="15" t="s">
        <v>86</v>
      </c>
      <c r="Q74" s="10" t="s">
        <v>80</v>
      </c>
      <c r="R74" s="11"/>
      <c r="S74" s="10"/>
      <c r="T74" s="10" t="s">
        <v>263</v>
      </c>
      <c r="U74" s="45">
        <v>10</v>
      </c>
      <c r="V74" s="10" t="s">
        <v>220</v>
      </c>
    </row>
    <row r="75" spans="1:22" ht="31.5" customHeight="1" x14ac:dyDescent="1.1000000000000001">
      <c r="A75" s="48"/>
      <c r="B75" s="10" t="s">
        <v>81</v>
      </c>
      <c r="C75" s="10" t="s">
        <v>82</v>
      </c>
      <c r="D75" s="11">
        <v>46172</v>
      </c>
      <c r="E75" s="10" t="s">
        <v>83</v>
      </c>
      <c r="F75" s="10" t="s">
        <v>122</v>
      </c>
      <c r="G75" s="12"/>
      <c r="H75" s="13" t="str">
        <f>IF(G75="","",IFERROR(G75/Settings!$B$3,""))</f>
        <v/>
      </c>
      <c r="I75" s="10" t="s">
        <v>36</v>
      </c>
      <c r="J75" s="23" t="s">
        <v>72</v>
      </c>
      <c r="K75" s="10" t="s">
        <v>65</v>
      </c>
      <c r="L75" s="10" t="s">
        <v>84</v>
      </c>
      <c r="M75" s="10" t="s">
        <v>85</v>
      </c>
      <c r="N75" s="10"/>
      <c r="O75" s="15"/>
      <c r="P75" s="15" t="s">
        <v>86</v>
      </c>
      <c r="Q75" s="10" t="s">
        <v>80</v>
      </c>
      <c r="R75" s="11"/>
      <c r="S75" s="10"/>
      <c r="T75" s="10" t="s">
        <v>264</v>
      </c>
      <c r="U75" s="45">
        <v>150</v>
      </c>
      <c r="V75" s="10" t="s">
        <v>220</v>
      </c>
    </row>
    <row r="76" spans="1:22" ht="31.5" customHeight="1" x14ac:dyDescent="1.1000000000000001">
      <c r="A76" s="48"/>
      <c r="B76" s="10" t="s">
        <v>81</v>
      </c>
      <c r="C76" s="10" t="s">
        <v>82</v>
      </c>
      <c r="D76" s="11">
        <v>46173</v>
      </c>
      <c r="E76" s="10" t="s">
        <v>83</v>
      </c>
      <c r="F76" s="10" t="s">
        <v>122</v>
      </c>
      <c r="G76" s="12"/>
      <c r="H76" s="13" t="str">
        <f>IF(G76="","",IFERROR(G76/Settings!$B$3,""))</f>
        <v/>
      </c>
      <c r="I76" s="10" t="s">
        <v>36</v>
      </c>
      <c r="J76" s="23" t="s">
        <v>72</v>
      </c>
      <c r="K76" s="10" t="s">
        <v>65</v>
      </c>
      <c r="L76" s="10" t="s">
        <v>84</v>
      </c>
      <c r="M76" s="10" t="s">
        <v>85</v>
      </c>
      <c r="N76" s="10"/>
      <c r="O76" s="15"/>
      <c r="P76" s="15" t="s">
        <v>86</v>
      </c>
      <c r="Q76" s="10" t="s">
        <v>80</v>
      </c>
      <c r="R76" s="11"/>
      <c r="S76" s="10"/>
      <c r="T76" s="10" t="s">
        <v>265</v>
      </c>
      <c r="U76" s="45">
        <v>500</v>
      </c>
      <c r="V76" s="10" t="s">
        <v>220</v>
      </c>
    </row>
    <row r="77" spans="1:22" ht="31.5" customHeight="1" x14ac:dyDescent="1.1000000000000001">
      <c r="A77" s="48"/>
      <c r="B77" s="10" t="s">
        <v>81</v>
      </c>
      <c r="C77" s="10" t="s">
        <v>82</v>
      </c>
      <c r="D77" s="11">
        <v>46174</v>
      </c>
      <c r="E77" s="10" t="s">
        <v>83</v>
      </c>
      <c r="F77" s="10" t="s">
        <v>122</v>
      </c>
      <c r="G77" s="12"/>
      <c r="H77" s="13" t="str">
        <f>IF(G77="","",IFERROR(G77/Settings!$B$3,""))</f>
        <v/>
      </c>
      <c r="I77" s="10" t="s">
        <v>36</v>
      </c>
      <c r="J77" s="23" t="s">
        <v>72</v>
      </c>
      <c r="K77" s="10" t="s">
        <v>65</v>
      </c>
      <c r="L77" s="10" t="s">
        <v>84</v>
      </c>
      <c r="M77" s="10" t="s">
        <v>85</v>
      </c>
      <c r="N77" s="10"/>
      <c r="O77" s="15"/>
      <c r="P77" s="15" t="s">
        <v>86</v>
      </c>
      <c r="Q77" s="10" t="s">
        <v>80</v>
      </c>
      <c r="R77" s="11"/>
      <c r="S77" s="10"/>
      <c r="T77" s="10" t="s">
        <v>266</v>
      </c>
      <c r="U77" s="45">
        <v>1000</v>
      </c>
      <c r="V77" s="10" t="s">
        <v>220</v>
      </c>
    </row>
    <row r="78" spans="1:22" ht="31.5" customHeight="1" x14ac:dyDescent="1.1000000000000001">
      <c r="A78" s="48"/>
      <c r="B78" s="10" t="s">
        <v>81</v>
      </c>
      <c r="C78" s="10" t="s">
        <v>82</v>
      </c>
      <c r="D78" s="11">
        <v>46175</v>
      </c>
      <c r="E78" s="10" t="s">
        <v>83</v>
      </c>
      <c r="F78" s="10" t="s">
        <v>122</v>
      </c>
      <c r="G78" s="12"/>
      <c r="H78" s="13" t="str">
        <f>IF(G78="","",IFERROR(G78/Settings!$B$3,""))</f>
        <v/>
      </c>
      <c r="I78" s="10" t="s">
        <v>36</v>
      </c>
      <c r="J78" s="23" t="s">
        <v>72</v>
      </c>
      <c r="K78" s="10" t="s">
        <v>65</v>
      </c>
      <c r="L78" s="10" t="s">
        <v>84</v>
      </c>
      <c r="M78" s="10" t="s">
        <v>85</v>
      </c>
      <c r="N78" s="10"/>
      <c r="O78" s="15"/>
      <c r="P78" s="15" t="s">
        <v>86</v>
      </c>
      <c r="Q78" s="10" t="s">
        <v>80</v>
      </c>
      <c r="R78" s="11"/>
      <c r="S78" s="10"/>
      <c r="T78" s="10" t="s">
        <v>267</v>
      </c>
      <c r="U78" s="45">
        <v>1000</v>
      </c>
      <c r="V78" s="10" t="s">
        <v>220</v>
      </c>
    </row>
    <row r="79" spans="1:22" ht="31.5" customHeight="1" x14ac:dyDescent="1.1000000000000001">
      <c r="A79" s="48"/>
      <c r="B79" s="10" t="s">
        <v>81</v>
      </c>
      <c r="C79" s="10" t="s">
        <v>82</v>
      </c>
      <c r="D79" s="11">
        <v>46176</v>
      </c>
      <c r="E79" s="10" t="s">
        <v>83</v>
      </c>
      <c r="F79" s="10" t="s">
        <v>122</v>
      </c>
      <c r="G79" s="12"/>
      <c r="H79" s="13" t="str">
        <f>IF(G79="","",IFERROR(G79/Settings!$B$3,""))</f>
        <v/>
      </c>
      <c r="I79" s="10" t="s">
        <v>36</v>
      </c>
      <c r="J79" s="23" t="s">
        <v>72</v>
      </c>
      <c r="K79" s="10" t="s">
        <v>65</v>
      </c>
      <c r="L79" s="10" t="s">
        <v>84</v>
      </c>
      <c r="M79" s="10" t="s">
        <v>85</v>
      </c>
      <c r="N79" s="10"/>
      <c r="O79" s="15"/>
      <c r="P79" s="15" t="s">
        <v>86</v>
      </c>
      <c r="Q79" s="10" t="s">
        <v>80</v>
      </c>
      <c r="R79" s="11"/>
      <c r="S79" s="10"/>
      <c r="T79" s="10" t="s">
        <v>266</v>
      </c>
      <c r="U79" s="45">
        <v>600</v>
      </c>
      <c r="V79" s="10" t="s">
        <v>220</v>
      </c>
    </row>
    <row r="80" spans="1:22" ht="31.5" customHeight="1" x14ac:dyDescent="1.1000000000000001">
      <c r="A80" s="48"/>
      <c r="B80" s="10" t="s">
        <v>81</v>
      </c>
      <c r="C80" s="10" t="s">
        <v>82</v>
      </c>
      <c r="D80" s="11">
        <v>46177</v>
      </c>
      <c r="E80" s="10" t="s">
        <v>83</v>
      </c>
      <c r="F80" s="10" t="s">
        <v>122</v>
      </c>
      <c r="G80" s="12"/>
      <c r="H80" s="13" t="str">
        <f>IF(G80="","",IFERROR(G80/Settings!$B$3,""))</f>
        <v/>
      </c>
      <c r="I80" s="10" t="s">
        <v>36</v>
      </c>
      <c r="J80" s="23" t="s">
        <v>72</v>
      </c>
      <c r="K80" s="10" t="s">
        <v>65</v>
      </c>
      <c r="L80" s="10" t="s">
        <v>84</v>
      </c>
      <c r="M80" s="10" t="s">
        <v>85</v>
      </c>
      <c r="N80" s="10"/>
      <c r="O80" s="15"/>
      <c r="P80" s="15" t="s">
        <v>86</v>
      </c>
      <c r="Q80" s="10" t="s">
        <v>80</v>
      </c>
      <c r="R80" s="11"/>
      <c r="S80" s="10"/>
      <c r="T80" s="10" t="s">
        <v>268</v>
      </c>
      <c r="U80" s="45">
        <v>240</v>
      </c>
      <c r="V80" s="10" t="s">
        <v>220</v>
      </c>
    </row>
    <row r="81" spans="1:22" ht="31.5" customHeight="1" x14ac:dyDescent="1.1000000000000001">
      <c r="A81" s="48"/>
      <c r="B81" s="10" t="s">
        <v>81</v>
      </c>
      <c r="C81" s="10" t="s">
        <v>82</v>
      </c>
      <c r="D81" s="11">
        <v>46178</v>
      </c>
      <c r="E81" s="10" t="s">
        <v>83</v>
      </c>
      <c r="F81" s="10" t="s">
        <v>122</v>
      </c>
      <c r="G81" s="12"/>
      <c r="H81" s="13" t="str">
        <f>IF(G81="","",IFERROR(G81/Settings!$B$3,""))</f>
        <v/>
      </c>
      <c r="I81" s="10" t="s">
        <v>36</v>
      </c>
      <c r="J81" s="23" t="s">
        <v>72</v>
      </c>
      <c r="K81" s="10" t="s">
        <v>65</v>
      </c>
      <c r="L81" s="10" t="s">
        <v>84</v>
      </c>
      <c r="M81" s="10" t="s">
        <v>85</v>
      </c>
      <c r="N81" s="10"/>
      <c r="O81" s="15"/>
      <c r="P81" s="15" t="s">
        <v>86</v>
      </c>
      <c r="Q81" s="10" t="s">
        <v>80</v>
      </c>
      <c r="R81" s="11"/>
      <c r="S81" s="10"/>
      <c r="T81" s="10" t="s">
        <v>269</v>
      </c>
      <c r="U81" s="45">
        <v>200</v>
      </c>
      <c r="V81" s="10" t="s">
        <v>220</v>
      </c>
    </row>
    <row r="82" spans="1:22" ht="31.5" customHeight="1" x14ac:dyDescent="1.1000000000000001">
      <c r="A82" s="48"/>
      <c r="B82" s="10" t="s">
        <v>81</v>
      </c>
      <c r="C82" s="10" t="s">
        <v>82</v>
      </c>
      <c r="D82" s="11">
        <v>46179</v>
      </c>
      <c r="E82" s="10" t="s">
        <v>83</v>
      </c>
      <c r="F82" s="10" t="s">
        <v>122</v>
      </c>
      <c r="G82" s="12"/>
      <c r="H82" s="13" t="str">
        <f>IF(G82="","",IFERROR(G82/Settings!$B$3,""))</f>
        <v/>
      </c>
      <c r="I82" s="10" t="s">
        <v>36</v>
      </c>
      <c r="J82" s="23" t="s">
        <v>72</v>
      </c>
      <c r="K82" s="10" t="s">
        <v>65</v>
      </c>
      <c r="L82" s="10" t="s">
        <v>84</v>
      </c>
      <c r="M82" s="10" t="s">
        <v>85</v>
      </c>
      <c r="N82" s="10"/>
      <c r="O82" s="15"/>
      <c r="P82" s="15" t="s">
        <v>86</v>
      </c>
      <c r="Q82" s="10" t="s">
        <v>80</v>
      </c>
      <c r="R82" s="11"/>
      <c r="S82" s="10"/>
      <c r="T82" s="10" t="s">
        <v>270</v>
      </c>
      <c r="U82" s="45">
        <v>850</v>
      </c>
      <c r="V82" s="10" t="s">
        <v>220</v>
      </c>
    </row>
    <row r="83" spans="1:22" ht="31.5" customHeight="1" x14ac:dyDescent="1.1000000000000001">
      <c r="A83" s="48"/>
      <c r="B83" s="10" t="s">
        <v>81</v>
      </c>
      <c r="C83" s="10" t="s">
        <v>82</v>
      </c>
      <c r="D83" s="11">
        <v>46180</v>
      </c>
      <c r="E83" s="10" t="s">
        <v>83</v>
      </c>
      <c r="F83" s="10" t="s">
        <v>122</v>
      </c>
      <c r="G83" s="12"/>
      <c r="H83" s="13" t="str">
        <f>IF(G83="","",IFERROR(G83/Settings!$B$3,""))</f>
        <v/>
      </c>
      <c r="I83" s="10" t="s">
        <v>36</v>
      </c>
      <c r="J83" s="23" t="s">
        <v>72</v>
      </c>
      <c r="K83" s="10" t="s">
        <v>65</v>
      </c>
      <c r="L83" s="10" t="s">
        <v>84</v>
      </c>
      <c r="M83" s="10" t="s">
        <v>85</v>
      </c>
      <c r="N83" s="10"/>
      <c r="O83" s="15"/>
      <c r="P83" s="15" t="s">
        <v>86</v>
      </c>
      <c r="Q83" s="10" t="s">
        <v>80</v>
      </c>
      <c r="R83" s="11"/>
      <c r="S83" s="10"/>
      <c r="T83" s="10" t="s">
        <v>271</v>
      </c>
      <c r="U83" s="45">
        <v>100</v>
      </c>
      <c r="V83" s="10" t="s">
        <v>213</v>
      </c>
    </row>
    <row r="84" spans="1:22" ht="31.5" customHeight="1" x14ac:dyDescent="1.1000000000000001">
      <c r="A84" s="48"/>
      <c r="B84" s="10" t="s">
        <v>81</v>
      </c>
      <c r="C84" s="10" t="s">
        <v>82</v>
      </c>
      <c r="D84" s="11">
        <v>46181</v>
      </c>
      <c r="E84" s="10" t="s">
        <v>83</v>
      </c>
      <c r="F84" s="10" t="s">
        <v>122</v>
      </c>
      <c r="G84" s="12"/>
      <c r="H84" s="13" t="str">
        <f>IF(G84="","",IFERROR(G84/Settings!$B$3,""))</f>
        <v/>
      </c>
      <c r="I84" s="10" t="s">
        <v>36</v>
      </c>
      <c r="J84" s="23" t="s">
        <v>72</v>
      </c>
      <c r="K84" s="10" t="s">
        <v>65</v>
      </c>
      <c r="L84" s="10" t="s">
        <v>84</v>
      </c>
      <c r="M84" s="10" t="s">
        <v>85</v>
      </c>
      <c r="N84" s="10"/>
      <c r="O84" s="15"/>
      <c r="P84" s="15" t="s">
        <v>86</v>
      </c>
      <c r="Q84" s="10" t="s">
        <v>80</v>
      </c>
      <c r="R84" s="11"/>
      <c r="S84" s="10"/>
      <c r="T84" s="10" t="s">
        <v>272</v>
      </c>
      <c r="U84" s="45">
        <v>500</v>
      </c>
      <c r="V84" s="10" t="s">
        <v>213</v>
      </c>
    </row>
    <row r="85" spans="1:22" ht="31.5" customHeight="1" x14ac:dyDescent="1.1000000000000001">
      <c r="A85" s="48"/>
      <c r="B85" s="10" t="s">
        <v>81</v>
      </c>
      <c r="C85" s="10" t="s">
        <v>82</v>
      </c>
      <c r="D85" s="11">
        <v>46182</v>
      </c>
      <c r="E85" s="10" t="s">
        <v>83</v>
      </c>
      <c r="F85" s="10" t="s">
        <v>122</v>
      </c>
      <c r="G85" s="12"/>
      <c r="H85" s="13" t="str">
        <f>IF(G85="","",IFERROR(G85/Settings!$B$3,""))</f>
        <v/>
      </c>
      <c r="I85" s="10" t="s">
        <v>36</v>
      </c>
      <c r="J85" s="23" t="s">
        <v>72</v>
      </c>
      <c r="K85" s="10" t="s">
        <v>65</v>
      </c>
      <c r="L85" s="10" t="s">
        <v>84</v>
      </c>
      <c r="M85" s="10" t="s">
        <v>85</v>
      </c>
      <c r="N85" s="10"/>
      <c r="O85" s="15"/>
      <c r="P85" s="15" t="s">
        <v>86</v>
      </c>
      <c r="Q85" s="10" t="s">
        <v>80</v>
      </c>
      <c r="R85" s="11"/>
      <c r="S85" s="10"/>
      <c r="T85" s="10" t="s">
        <v>273</v>
      </c>
      <c r="U85" s="45">
        <v>34</v>
      </c>
      <c r="V85" s="10" t="s">
        <v>274</v>
      </c>
    </row>
    <row r="86" spans="1:22" ht="31.5" customHeight="1" x14ac:dyDescent="1.1000000000000001">
      <c r="A86" s="48"/>
      <c r="B86" s="10" t="s">
        <v>81</v>
      </c>
      <c r="C86" s="10" t="s">
        <v>82</v>
      </c>
      <c r="D86" s="11">
        <v>46183</v>
      </c>
      <c r="E86" s="10" t="s">
        <v>83</v>
      </c>
      <c r="F86" s="10" t="s">
        <v>122</v>
      </c>
      <c r="G86" s="12"/>
      <c r="H86" s="13" t="str">
        <f>IF(G86="","",IFERROR(G86/Settings!$B$3,""))</f>
        <v/>
      </c>
      <c r="I86" s="10" t="s">
        <v>36</v>
      </c>
      <c r="J86" s="23" t="s">
        <v>72</v>
      </c>
      <c r="K86" s="10" t="s">
        <v>65</v>
      </c>
      <c r="L86" s="10" t="s">
        <v>84</v>
      </c>
      <c r="M86" s="10" t="s">
        <v>85</v>
      </c>
      <c r="N86" s="10"/>
      <c r="O86" s="15"/>
      <c r="P86" s="15" t="s">
        <v>86</v>
      </c>
      <c r="Q86" s="10" t="s">
        <v>80</v>
      </c>
      <c r="R86" s="11"/>
      <c r="S86" s="10"/>
      <c r="T86" s="10" t="s">
        <v>275</v>
      </c>
      <c r="U86" s="45">
        <v>50</v>
      </c>
      <c r="V86" s="10" t="s">
        <v>274</v>
      </c>
    </row>
    <row r="87" spans="1:22" ht="31.5" customHeight="1" x14ac:dyDescent="1.1000000000000001">
      <c r="A87" s="48"/>
      <c r="B87" s="10" t="s">
        <v>81</v>
      </c>
      <c r="C87" s="10" t="s">
        <v>82</v>
      </c>
      <c r="D87" s="11">
        <v>46184</v>
      </c>
      <c r="E87" s="10" t="s">
        <v>83</v>
      </c>
      <c r="F87" s="10" t="s">
        <v>122</v>
      </c>
      <c r="G87" s="12"/>
      <c r="H87" s="13" t="str">
        <f>IF(G87="","",IFERROR(G87/Settings!$B$3,""))</f>
        <v/>
      </c>
      <c r="I87" s="10" t="s">
        <v>36</v>
      </c>
      <c r="J87" s="23" t="s">
        <v>72</v>
      </c>
      <c r="K87" s="10" t="s">
        <v>65</v>
      </c>
      <c r="L87" s="10" t="s">
        <v>84</v>
      </c>
      <c r="M87" s="10" t="s">
        <v>85</v>
      </c>
      <c r="N87" s="10"/>
      <c r="O87" s="15"/>
      <c r="P87" s="15" t="s">
        <v>86</v>
      </c>
      <c r="Q87" s="10" t="s">
        <v>80</v>
      </c>
      <c r="R87" s="11"/>
      <c r="S87" s="10"/>
      <c r="T87" s="10" t="s">
        <v>276</v>
      </c>
      <c r="U87" s="45">
        <v>50</v>
      </c>
      <c r="V87" s="10" t="s">
        <v>274</v>
      </c>
    </row>
    <row r="88" spans="1:22" ht="31.5" customHeight="1" x14ac:dyDescent="1.1000000000000001">
      <c r="A88" s="48"/>
      <c r="B88" s="10" t="s">
        <v>81</v>
      </c>
      <c r="C88" s="10" t="s">
        <v>82</v>
      </c>
      <c r="D88" s="11">
        <v>46185</v>
      </c>
      <c r="E88" s="10" t="s">
        <v>83</v>
      </c>
      <c r="F88" s="10" t="s">
        <v>122</v>
      </c>
      <c r="G88" s="12"/>
      <c r="H88" s="13" t="str">
        <f>IF(G88="","",IFERROR(G88/Settings!$B$3,""))</f>
        <v/>
      </c>
      <c r="I88" s="10" t="s">
        <v>36</v>
      </c>
      <c r="J88" s="23" t="s">
        <v>72</v>
      </c>
      <c r="K88" s="10" t="s">
        <v>65</v>
      </c>
      <c r="L88" s="10" t="s">
        <v>84</v>
      </c>
      <c r="M88" s="10" t="s">
        <v>85</v>
      </c>
      <c r="N88" s="10"/>
      <c r="O88" s="15"/>
      <c r="P88" s="15" t="s">
        <v>86</v>
      </c>
      <c r="Q88" s="10" t="s">
        <v>80</v>
      </c>
      <c r="R88" s="11"/>
      <c r="S88" s="10"/>
      <c r="T88" s="10" t="s">
        <v>277</v>
      </c>
      <c r="U88" s="45">
        <v>50</v>
      </c>
      <c r="V88" s="10" t="s">
        <v>274</v>
      </c>
    </row>
    <row r="89" spans="1:22" ht="31.5" customHeight="1" x14ac:dyDescent="1.1000000000000001">
      <c r="A89" s="48"/>
      <c r="B89" s="10" t="s">
        <v>81</v>
      </c>
      <c r="C89" s="10" t="s">
        <v>82</v>
      </c>
      <c r="D89" s="11">
        <v>46186</v>
      </c>
      <c r="E89" s="10" t="s">
        <v>83</v>
      </c>
      <c r="F89" s="10" t="s">
        <v>122</v>
      </c>
      <c r="G89" s="12"/>
      <c r="H89" s="13" t="str">
        <f>IF(G89="","",IFERROR(G89/Settings!$B$3,""))</f>
        <v/>
      </c>
      <c r="I89" s="10" t="s">
        <v>36</v>
      </c>
      <c r="J89" s="23" t="s">
        <v>72</v>
      </c>
      <c r="K89" s="10" t="s">
        <v>65</v>
      </c>
      <c r="L89" s="10" t="s">
        <v>84</v>
      </c>
      <c r="M89" s="10" t="s">
        <v>85</v>
      </c>
      <c r="N89" s="10"/>
      <c r="O89" s="15"/>
      <c r="P89" s="15" t="s">
        <v>86</v>
      </c>
      <c r="Q89" s="10" t="s">
        <v>80</v>
      </c>
      <c r="R89" s="11"/>
      <c r="S89" s="10"/>
      <c r="T89" s="10" t="s">
        <v>278</v>
      </c>
      <c r="U89" s="45">
        <v>50</v>
      </c>
      <c r="V89" s="10" t="s">
        <v>274</v>
      </c>
    </row>
    <row r="90" spans="1:22" ht="31.5" customHeight="1" x14ac:dyDescent="1.1000000000000001">
      <c r="A90" s="48"/>
      <c r="B90" s="10" t="s">
        <v>81</v>
      </c>
      <c r="C90" s="10" t="s">
        <v>82</v>
      </c>
      <c r="D90" s="11">
        <v>46187</v>
      </c>
      <c r="E90" s="10" t="s">
        <v>83</v>
      </c>
      <c r="F90" s="10" t="s">
        <v>122</v>
      </c>
      <c r="G90" s="12"/>
      <c r="H90" s="13" t="str">
        <f>IF(G90="","",IFERROR(G90/Settings!$B$3,""))</f>
        <v/>
      </c>
      <c r="I90" s="10" t="s">
        <v>36</v>
      </c>
      <c r="J90" s="23" t="s">
        <v>72</v>
      </c>
      <c r="K90" s="10" t="s">
        <v>65</v>
      </c>
      <c r="L90" s="10" t="s">
        <v>84</v>
      </c>
      <c r="M90" s="10" t="s">
        <v>85</v>
      </c>
      <c r="N90" s="10"/>
      <c r="O90" s="15"/>
      <c r="P90" s="15" t="s">
        <v>86</v>
      </c>
      <c r="Q90" s="10" t="s">
        <v>80</v>
      </c>
      <c r="R90" s="11"/>
      <c r="S90" s="10"/>
      <c r="T90" s="10" t="s">
        <v>279</v>
      </c>
      <c r="U90" s="45">
        <v>1000</v>
      </c>
      <c r="V90" s="10" t="s">
        <v>274</v>
      </c>
    </row>
    <row r="91" spans="1:22" ht="31.5" customHeight="1" x14ac:dyDescent="1.1000000000000001">
      <c r="A91" s="48"/>
      <c r="B91" s="10" t="s">
        <v>81</v>
      </c>
      <c r="C91" s="10" t="s">
        <v>82</v>
      </c>
      <c r="D91" s="11">
        <v>46188</v>
      </c>
      <c r="E91" s="10" t="s">
        <v>83</v>
      </c>
      <c r="F91" s="10" t="s">
        <v>122</v>
      </c>
      <c r="G91" s="12"/>
      <c r="H91" s="13" t="str">
        <f>IF(G91="","",IFERROR(G91/Settings!$B$3,""))</f>
        <v/>
      </c>
      <c r="I91" s="10" t="s">
        <v>36</v>
      </c>
      <c r="J91" s="23" t="s">
        <v>72</v>
      </c>
      <c r="K91" s="10" t="s">
        <v>65</v>
      </c>
      <c r="L91" s="10" t="s">
        <v>84</v>
      </c>
      <c r="M91" s="10" t="s">
        <v>85</v>
      </c>
      <c r="N91" s="10"/>
      <c r="O91" s="15"/>
      <c r="P91" s="15" t="s">
        <v>86</v>
      </c>
      <c r="Q91" s="10" t="s">
        <v>80</v>
      </c>
      <c r="R91" s="11"/>
      <c r="S91" s="10"/>
      <c r="T91" s="10" t="s">
        <v>280</v>
      </c>
      <c r="U91" s="45">
        <v>350</v>
      </c>
      <c r="V91" s="10" t="s">
        <v>220</v>
      </c>
    </row>
    <row r="92" spans="1:22" ht="31.5" customHeight="1" x14ac:dyDescent="1.1000000000000001">
      <c r="A92" s="48"/>
      <c r="B92" s="10" t="s">
        <v>81</v>
      </c>
      <c r="C92" s="10" t="s">
        <v>82</v>
      </c>
      <c r="D92" s="11">
        <v>46189</v>
      </c>
      <c r="E92" s="10" t="s">
        <v>83</v>
      </c>
      <c r="F92" s="10" t="s">
        <v>122</v>
      </c>
      <c r="G92" s="12"/>
      <c r="H92" s="13" t="str">
        <f>IF(G92="","",IFERROR(G92/Settings!$B$3,""))</f>
        <v/>
      </c>
      <c r="I92" s="10" t="s">
        <v>36</v>
      </c>
      <c r="J92" s="23" t="s">
        <v>72</v>
      </c>
      <c r="K92" s="10" t="s">
        <v>65</v>
      </c>
      <c r="L92" s="10" t="s">
        <v>84</v>
      </c>
      <c r="M92" s="10" t="s">
        <v>85</v>
      </c>
      <c r="N92" s="10"/>
      <c r="O92" s="15"/>
      <c r="P92" s="15" t="s">
        <v>86</v>
      </c>
      <c r="Q92" s="10" t="s">
        <v>80</v>
      </c>
      <c r="R92" s="11"/>
      <c r="S92" s="10"/>
      <c r="T92" s="10" t="s">
        <v>281</v>
      </c>
      <c r="U92" s="45">
        <v>150</v>
      </c>
      <c r="V92" s="10" t="s">
        <v>213</v>
      </c>
    </row>
    <row r="93" spans="1:22" ht="31.5" customHeight="1" x14ac:dyDescent="1.1000000000000001">
      <c r="A93" s="48"/>
      <c r="B93" s="10" t="s">
        <v>81</v>
      </c>
      <c r="C93" s="10" t="s">
        <v>82</v>
      </c>
      <c r="D93" s="11">
        <v>46190</v>
      </c>
      <c r="E93" s="10" t="s">
        <v>83</v>
      </c>
      <c r="F93" s="10" t="s">
        <v>122</v>
      </c>
      <c r="G93" s="12"/>
      <c r="H93" s="13" t="str">
        <f>IF(G93="","",IFERROR(G93/Settings!$B$3,""))</f>
        <v/>
      </c>
      <c r="I93" s="10" t="s">
        <v>36</v>
      </c>
      <c r="J93" s="23" t="s">
        <v>72</v>
      </c>
      <c r="K93" s="10" t="s">
        <v>65</v>
      </c>
      <c r="L93" s="10" t="s">
        <v>84</v>
      </c>
      <c r="M93" s="10" t="s">
        <v>85</v>
      </c>
      <c r="N93" s="10"/>
      <c r="O93" s="15"/>
      <c r="P93" s="15" t="s">
        <v>86</v>
      </c>
      <c r="Q93" s="10" t="s">
        <v>80</v>
      </c>
      <c r="R93" s="11"/>
      <c r="S93" s="10"/>
      <c r="T93" s="10" t="s">
        <v>282</v>
      </c>
      <c r="U93" s="45">
        <v>90</v>
      </c>
      <c r="V93" s="10" t="s">
        <v>213</v>
      </c>
    </row>
    <row r="94" spans="1:22" ht="31.5" customHeight="1" x14ac:dyDescent="1.1000000000000001">
      <c r="A94" s="48"/>
      <c r="B94" s="10" t="s">
        <v>81</v>
      </c>
      <c r="C94" s="10" t="s">
        <v>82</v>
      </c>
      <c r="D94" s="11">
        <v>46191</v>
      </c>
      <c r="E94" s="10" t="s">
        <v>83</v>
      </c>
      <c r="F94" s="10" t="s">
        <v>122</v>
      </c>
      <c r="G94" s="12"/>
      <c r="H94" s="13" t="str">
        <f>IF(G94="","",IFERROR(G94/Settings!$B$3,""))</f>
        <v/>
      </c>
      <c r="I94" s="10" t="s">
        <v>36</v>
      </c>
      <c r="J94" s="23" t="s">
        <v>72</v>
      </c>
      <c r="K94" s="10" t="s">
        <v>65</v>
      </c>
      <c r="L94" s="10" t="s">
        <v>84</v>
      </c>
      <c r="M94" s="10" t="s">
        <v>85</v>
      </c>
      <c r="N94" s="10"/>
      <c r="O94" s="15"/>
      <c r="P94" s="15" t="s">
        <v>86</v>
      </c>
      <c r="Q94" s="10" t="s">
        <v>80</v>
      </c>
      <c r="R94" s="11"/>
      <c r="S94" s="10"/>
      <c r="T94" s="10" t="s">
        <v>234</v>
      </c>
      <c r="U94" s="45">
        <v>260</v>
      </c>
      <c r="V94" s="10" t="s">
        <v>220</v>
      </c>
    </row>
    <row r="95" spans="1:22" ht="31.5" customHeight="1" x14ac:dyDescent="1.1000000000000001">
      <c r="A95" s="48"/>
      <c r="B95" s="10" t="s">
        <v>81</v>
      </c>
      <c r="C95" s="10" t="s">
        <v>82</v>
      </c>
      <c r="D95" s="11">
        <v>46192</v>
      </c>
      <c r="E95" s="10" t="s">
        <v>83</v>
      </c>
      <c r="F95" s="10" t="s">
        <v>122</v>
      </c>
      <c r="G95" s="12"/>
      <c r="H95" s="13" t="str">
        <f>IF(G95="","",IFERROR(G95/Settings!$B$3,""))</f>
        <v/>
      </c>
      <c r="I95" s="10" t="s">
        <v>36</v>
      </c>
      <c r="J95" s="23" t="s">
        <v>72</v>
      </c>
      <c r="K95" s="10" t="s">
        <v>65</v>
      </c>
      <c r="L95" s="10" t="s">
        <v>84</v>
      </c>
      <c r="M95" s="10" t="s">
        <v>85</v>
      </c>
      <c r="N95" s="10"/>
      <c r="O95" s="15"/>
      <c r="P95" s="15" t="s">
        <v>86</v>
      </c>
      <c r="Q95" s="10" t="s">
        <v>80</v>
      </c>
      <c r="R95" s="11"/>
      <c r="S95" s="10"/>
      <c r="T95" s="10" t="s">
        <v>235</v>
      </c>
      <c r="U95" s="45">
        <v>300</v>
      </c>
      <c r="V95" s="10" t="s">
        <v>220</v>
      </c>
    </row>
    <row r="96" spans="1:22" ht="31.5" customHeight="1" x14ac:dyDescent="1.1000000000000001">
      <c r="A96" s="48"/>
      <c r="B96" s="10" t="s">
        <v>81</v>
      </c>
      <c r="C96" s="10" t="s">
        <v>82</v>
      </c>
      <c r="D96" s="11">
        <v>46193</v>
      </c>
      <c r="E96" s="10" t="s">
        <v>83</v>
      </c>
      <c r="F96" s="10" t="s">
        <v>122</v>
      </c>
      <c r="G96" s="12"/>
      <c r="H96" s="13" t="str">
        <f>IF(G96="","",IFERROR(G96/Settings!$B$3,""))</f>
        <v/>
      </c>
      <c r="I96" s="10" t="s">
        <v>36</v>
      </c>
      <c r="J96" s="23" t="s">
        <v>72</v>
      </c>
      <c r="K96" s="10" t="s">
        <v>65</v>
      </c>
      <c r="L96" s="10" t="s">
        <v>84</v>
      </c>
      <c r="M96" s="10" t="s">
        <v>85</v>
      </c>
      <c r="N96" s="10"/>
      <c r="O96" s="15"/>
      <c r="P96" s="15" t="s">
        <v>86</v>
      </c>
      <c r="Q96" s="10" t="s">
        <v>80</v>
      </c>
      <c r="R96" s="11"/>
      <c r="S96" s="10"/>
      <c r="T96" s="10" t="s">
        <v>283</v>
      </c>
      <c r="U96" s="45">
        <v>50</v>
      </c>
      <c r="V96" s="10" t="s">
        <v>213</v>
      </c>
    </row>
    <row r="97" spans="1:22" ht="31.5" customHeight="1" x14ac:dyDescent="1.1000000000000001">
      <c r="A97" s="48"/>
      <c r="B97" s="10" t="s">
        <v>81</v>
      </c>
      <c r="C97" s="10" t="s">
        <v>82</v>
      </c>
      <c r="D97" s="11">
        <v>46194</v>
      </c>
      <c r="E97" s="10" t="s">
        <v>83</v>
      </c>
      <c r="F97" s="10" t="s">
        <v>122</v>
      </c>
      <c r="G97" s="12"/>
      <c r="H97" s="13" t="str">
        <f>IF(G97="","",IFERROR(G97/Settings!$B$3,""))</f>
        <v/>
      </c>
      <c r="I97" s="10" t="s">
        <v>36</v>
      </c>
      <c r="J97" s="23" t="s">
        <v>72</v>
      </c>
      <c r="K97" s="10" t="s">
        <v>65</v>
      </c>
      <c r="L97" s="10" t="s">
        <v>84</v>
      </c>
      <c r="M97" s="10" t="s">
        <v>85</v>
      </c>
      <c r="N97" s="10"/>
      <c r="O97" s="15"/>
      <c r="P97" s="15" t="s">
        <v>86</v>
      </c>
      <c r="Q97" s="10" t="s">
        <v>80</v>
      </c>
      <c r="R97" s="11"/>
      <c r="S97" s="10"/>
      <c r="T97" s="10" t="s">
        <v>284</v>
      </c>
      <c r="U97" s="45">
        <v>30</v>
      </c>
      <c r="V97" s="10" t="s">
        <v>213</v>
      </c>
    </row>
    <row r="98" spans="1:22" ht="31.5" customHeight="1" x14ac:dyDescent="1.1000000000000001">
      <c r="A98" s="48"/>
      <c r="B98" s="10" t="s">
        <v>81</v>
      </c>
      <c r="C98" s="10" t="s">
        <v>82</v>
      </c>
      <c r="D98" s="11">
        <v>46195</v>
      </c>
      <c r="E98" s="10" t="s">
        <v>83</v>
      </c>
      <c r="F98" s="10" t="s">
        <v>122</v>
      </c>
      <c r="G98" s="12"/>
      <c r="H98" s="13" t="str">
        <f>IF(G98="","",IFERROR(G98/Settings!$B$3,""))</f>
        <v/>
      </c>
      <c r="I98" s="10" t="s">
        <v>36</v>
      </c>
      <c r="J98" s="23" t="s">
        <v>72</v>
      </c>
      <c r="K98" s="10" t="s">
        <v>65</v>
      </c>
      <c r="L98" s="10" t="s">
        <v>84</v>
      </c>
      <c r="M98" s="10" t="s">
        <v>85</v>
      </c>
      <c r="N98" s="10"/>
      <c r="O98" s="15"/>
      <c r="P98" s="15" t="s">
        <v>86</v>
      </c>
      <c r="Q98" s="10" t="s">
        <v>80</v>
      </c>
      <c r="R98" s="11"/>
      <c r="S98" s="10"/>
      <c r="T98" s="10" t="s">
        <v>285</v>
      </c>
      <c r="U98" s="45">
        <v>240</v>
      </c>
      <c r="V98" s="10" t="s">
        <v>213</v>
      </c>
    </row>
    <row r="99" spans="1:22" ht="31.5" customHeight="1" x14ac:dyDescent="1.1000000000000001">
      <c r="A99" s="48"/>
      <c r="B99" s="10" t="s">
        <v>81</v>
      </c>
      <c r="C99" s="10" t="s">
        <v>82</v>
      </c>
      <c r="D99" s="11">
        <v>46196</v>
      </c>
      <c r="E99" s="10" t="s">
        <v>83</v>
      </c>
      <c r="F99" s="10" t="s">
        <v>122</v>
      </c>
      <c r="G99" s="12"/>
      <c r="H99" s="13" t="str">
        <f>IF(G99="","",IFERROR(G99/Settings!$B$3,""))</f>
        <v/>
      </c>
      <c r="I99" s="10" t="s">
        <v>36</v>
      </c>
      <c r="J99" s="23" t="s">
        <v>72</v>
      </c>
      <c r="K99" s="10" t="s">
        <v>65</v>
      </c>
      <c r="L99" s="10" t="s">
        <v>84</v>
      </c>
      <c r="M99" s="10" t="s">
        <v>85</v>
      </c>
      <c r="N99" s="10"/>
      <c r="O99" s="15"/>
      <c r="P99" s="15" t="s">
        <v>86</v>
      </c>
      <c r="Q99" s="10" t="s">
        <v>80</v>
      </c>
      <c r="R99" s="11"/>
      <c r="S99" s="10"/>
      <c r="T99" s="10" t="s">
        <v>286</v>
      </c>
      <c r="U99" s="45">
        <v>300</v>
      </c>
      <c r="V99" s="10" t="s">
        <v>213</v>
      </c>
    </row>
    <row r="100" spans="1:22" ht="31.5" customHeight="1" x14ac:dyDescent="1.1000000000000001">
      <c r="A100" s="48"/>
      <c r="B100" s="10" t="s">
        <v>81</v>
      </c>
      <c r="C100" s="10" t="s">
        <v>82</v>
      </c>
      <c r="D100" s="11">
        <v>46197</v>
      </c>
      <c r="E100" s="10" t="s">
        <v>83</v>
      </c>
      <c r="F100" s="10" t="s">
        <v>122</v>
      </c>
      <c r="G100" s="12"/>
      <c r="H100" s="13" t="str">
        <f>IF(G100="","",IFERROR(G100/Settings!$B$3,""))</f>
        <v/>
      </c>
      <c r="I100" s="10" t="s">
        <v>36</v>
      </c>
      <c r="J100" s="23" t="s">
        <v>72</v>
      </c>
      <c r="K100" s="10" t="s">
        <v>65</v>
      </c>
      <c r="L100" s="10" t="s">
        <v>84</v>
      </c>
      <c r="M100" s="10" t="s">
        <v>85</v>
      </c>
      <c r="N100" s="10"/>
      <c r="O100" s="15"/>
      <c r="P100" s="15" t="s">
        <v>86</v>
      </c>
      <c r="Q100" s="10" t="s">
        <v>80</v>
      </c>
      <c r="R100" s="11"/>
      <c r="S100" s="10"/>
      <c r="T100" s="10" t="s">
        <v>287</v>
      </c>
      <c r="U100" s="45">
        <v>165</v>
      </c>
      <c r="V100" s="10" t="s">
        <v>213</v>
      </c>
    </row>
    <row r="101" spans="1:22" ht="31.5" customHeight="1" x14ac:dyDescent="1.1000000000000001">
      <c r="A101" s="48"/>
      <c r="B101" s="10" t="s">
        <v>81</v>
      </c>
      <c r="C101" s="10" t="s">
        <v>82</v>
      </c>
      <c r="D101" s="11">
        <v>46198</v>
      </c>
      <c r="E101" s="10" t="s">
        <v>83</v>
      </c>
      <c r="F101" s="10" t="s">
        <v>122</v>
      </c>
      <c r="G101" s="12"/>
      <c r="H101" s="13" t="str">
        <f>IF(G101="","",IFERROR(G101/Settings!$B$3,""))</f>
        <v/>
      </c>
      <c r="I101" s="10" t="s">
        <v>36</v>
      </c>
      <c r="J101" s="23" t="s">
        <v>72</v>
      </c>
      <c r="K101" s="10" t="s">
        <v>65</v>
      </c>
      <c r="L101" s="10" t="s">
        <v>84</v>
      </c>
      <c r="M101" s="10" t="s">
        <v>85</v>
      </c>
      <c r="N101" s="10"/>
      <c r="O101" s="15"/>
      <c r="P101" s="15" t="s">
        <v>86</v>
      </c>
      <c r="Q101" s="10" t="s">
        <v>80</v>
      </c>
      <c r="R101" s="11"/>
      <c r="S101" s="10"/>
      <c r="T101" s="10" t="s">
        <v>288</v>
      </c>
      <c r="U101" s="45">
        <v>1100</v>
      </c>
      <c r="V101" s="10" t="s">
        <v>213</v>
      </c>
    </row>
    <row r="102" spans="1:22" ht="31.5" customHeight="1" x14ac:dyDescent="1.1000000000000001">
      <c r="A102" s="48"/>
      <c r="B102" s="10" t="s">
        <v>81</v>
      </c>
      <c r="C102" s="10" t="s">
        <v>82</v>
      </c>
      <c r="D102" s="11">
        <v>46199</v>
      </c>
      <c r="E102" s="10" t="s">
        <v>83</v>
      </c>
      <c r="F102" s="10" t="s">
        <v>122</v>
      </c>
      <c r="G102" s="12"/>
      <c r="H102" s="13" t="str">
        <f>IF(G102="","",IFERROR(G102/Settings!$B$3,""))</f>
        <v/>
      </c>
      <c r="I102" s="10" t="s">
        <v>36</v>
      </c>
      <c r="J102" s="23" t="s">
        <v>72</v>
      </c>
      <c r="K102" s="10" t="s">
        <v>65</v>
      </c>
      <c r="L102" s="10" t="s">
        <v>84</v>
      </c>
      <c r="M102" s="10" t="s">
        <v>85</v>
      </c>
      <c r="N102" s="10"/>
      <c r="O102" s="15"/>
      <c r="P102" s="15" t="s">
        <v>86</v>
      </c>
      <c r="Q102" s="10" t="s">
        <v>80</v>
      </c>
      <c r="R102" s="11"/>
      <c r="S102" s="10"/>
      <c r="T102" s="10" t="s">
        <v>289</v>
      </c>
      <c r="U102" s="45">
        <v>50</v>
      </c>
      <c r="V102" s="10" t="s">
        <v>213</v>
      </c>
    </row>
    <row r="103" spans="1:22" ht="31.5" customHeight="1" x14ac:dyDescent="1.1000000000000001">
      <c r="A103" s="48"/>
      <c r="B103" s="10" t="s">
        <v>81</v>
      </c>
      <c r="C103" s="10" t="s">
        <v>82</v>
      </c>
      <c r="D103" s="11">
        <v>46200</v>
      </c>
      <c r="E103" s="10" t="s">
        <v>83</v>
      </c>
      <c r="F103" s="10" t="s">
        <v>122</v>
      </c>
      <c r="G103" s="12"/>
      <c r="H103" s="13" t="str">
        <f>IF(G103="","",IFERROR(G103/Settings!$B$3,""))</f>
        <v/>
      </c>
      <c r="I103" s="10" t="s">
        <v>36</v>
      </c>
      <c r="J103" s="23" t="s">
        <v>72</v>
      </c>
      <c r="K103" s="10" t="s">
        <v>65</v>
      </c>
      <c r="L103" s="10" t="s">
        <v>84</v>
      </c>
      <c r="M103" s="10" t="s">
        <v>85</v>
      </c>
      <c r="N103" s="10"/>
      <c r="O103" s="15"/>
      <c r="P103" s="15" t="s">
        <v>86</v>
      </c>
      <c r="Q103" s="10" t="s">
        <v>80</v>
      </c>
      <c r="R103" s="11"/>
      <c r="S103" s="10"/>
      <c r="T103" s="10" t="s">
        <v>290</v>
      </c>
      <c r="U103" s="45">
        <v>50</v>
      </c>
      <c r="V103" s="10" t="s">
        <v>213</v>
      </c>
    </row>
    <row r="104" spans="1:22" ht="31.5" customHeight="1" x14ac:dyDescent="1.1000000000000001">
      <c r="A104" s="48"/>
      <c r="B104" s="10" t="s">
        <v>81</v>
      </c>
      <c r="C104" s="10" t="s">
        <v>82</v>
      </c>
      <c r="D104" s="11">
        <v>46201</v>
      </c>
      <c r="E104" s="10" t="s">
        <v>83</v>
      </c>
      <c r="F104" s="10" t="s">
        <v>122</v>
      </c>
      <c r="G104" s="12"/>
      <c r="H104" s="13" t="str">
        <f>IF(G104="","",IFERROR(G104/Settings!$B$3,""))</f>
        <v/>
      </c>
      <c r="I104" s="10" t="s">
        <v>36</v>
      </c>
      <c r="J104" s="23" t="s">
        <v>72</v>
      </c>
      <c r="K104" s="10" t="s">
        <v>65</v>
      </c>
      <c r="L104" s="10" t="s">
        <v>84</v>
      </c>
      <c r="M104" s="10" t="s">
        <v>85</v>
      </c>
      <c r="N104" s="10"/>
      <c r="O104" s="15"/>
      <c r="P104" s="15" t="s">
        <v>86</v>
      </c>
      <c r="Q104" s="10" t="s">
        <v>80</v>
      </c>
      <c r="R104" s="11"/>
      <c r="S104" s="10"/>
      <c r="T104" s="10" t="s">
        <v>291</v>
      </c>
      <c r="U104" s="45">
        <v>650</v>
      </c>
      <c r="V104" s="10" t="s">
        <v>213</v>
      </c>
    </row>
    <row r="105" spans="1:22" ht="31.5" customHeight="1" x14ac:dyDescent="1.1000000000000001">
      <c r="A105" s="48"/>
      <c r="B105" s="10" t="s">
        <v>81</v>
      </c>
      <c r="C105" s="10" t="s">
        <v>82</v>
      </c>
      <c r="D105" s="11">
        <v>46202</v>
      </c>
      <c r="E105" s="10" t="s">
        <v>83</v>
      </c>
      <c r="F105" s="10" t="s">
        <v>122</v>
      </c>
      <c r="G105" s="12"/>
      <c r="H105" s="13" t="str">
        <f>IF(G105="","",IFERROR(G105/Settings!$B$3,""))</f>
        <v/>
      </c>
      <c r="I105" s="10" t="s">
        <v>36</v>
      </c>
      <c r="J105" s="23" t="s">
        <v>72</v>
      </c>
      <c r="K105" s="10" t="s">
        <v>65</v>
      </c>
      <c r="L105" s="10" t="s">
        <v>84</v>
      </c>
      <c r="M105" s="10" t="s">
        <v>85</v>
      </c>
      <c r="N105" s="10"/>
      <c r="O105" s="15"/>
      <c r="P105" s="15" t="s">
        <v>86</v>
      </c>
      <c r="Q105" s="10" t="s">
        <v>80</v>
      </c>
      <c r="R105" s="11"/>
      <c r="S105" s="10"/>
      <c r="T105" s="10" t="s">
        <v>292</v>
      </c>
      <c r="U105" s="45">
        <v>500</v>
      </c>
      <c r="V105" s="10" t="s">
        <v>220</v>
      </c>
    </row>
    <row r="106" spans="1:22" ht="31.5" customHeight="1" x14ac:dyDescent="1.1000000000000001">
      <c r="A106" s="48"/>
      <c r="B106" s="10" t="s">
        <v>81</v>
      </c>
      <c r="C106" s="10" t="s">
        <v>82</v>
      </c>
      <c r="D106" s="11">
        <v>46203</v>
      </c>
      <c r="E106" s="10" t="s">
        <v>83</v>
      </c>
      <c r="F106" s="10" t="s">
        <v>122</v>
      </c>
      <c r="G106" s="12"/>
      <c r="H106" s="13" t="str">
        <f>IF(G106="","",IFERROR(G106/Settings!$B$3,""))</f>
        <v/>
      </c>
      <c r="I106" s="10" t="s">
        <v>36</v>
      </c>
      <c r="J106" s="23" t="s">
        <v>72</v>
      </c>
      <c r="K106" s="10" t="s">
        <v>65</v>
      </c>
      <c r="L106" s="10" t="s">
        <v>84</v>
      </c>
      <c r="M106" s="10" t="s">
        <v>85</v>
      </c>
      <c r="N106" s="10"/>
      <c r="O106" s="15"/>
      <c r="P106" s="15" t="s">
        <v>86</v>
      </c>
      <c r="Q106" s="10" t="s">
        <v>80</v>
      </c>
      <c r="R106" s="11"/>
      <c r="S106" s="10"/>
      <c r="T106" s="10" t="s">
        <v>293</v>
      </c>
      <c r="U106" s="45">
        <v>50</v>
      </c>
      <c r="V106" s="10" t="s">
        <v>274</v>
      </c>
    </row>
    <row r="107" spans="1:22" ht="31.5" customHeight="1" x14ac:dyDescent="1.1000000000000001">
      <c r="A107" s="48"/>
      <c r="B107" s="10" t="s">
        <v>81</v>
      </c>
      <c r="C107" s="10" t="s">
        <v>82</v>
      </c>
      <c r="D107" s="11">
        <v>46204</v>
      </c>
      <c r="E107" s="10" t="s">
        <v>83</v>
      </c>
      <c r="F107" s="10" t="s">
        <v>122</v>
      </c>
      <c r="G107" s="12"/>
      <c r="H107" s="13" t="str">
        <f>IF(G107="","",IFERROR(G107/Settings!$B$3,""))</f>
        <v/>
      </c>
      <c r="I107" s="10" t="s">
        <v>36</v>
      </c>
      <c r="J107" s="23" t="s">
        <v>72</v>
      </c>
      <c r="K107" s="10" t="s">
        <v>65</v>
      </c>
      <c r="L107" s="10" t="s">
        <v>84</v>
      </c>
      <c r="M107" s="10" t="s">
        <v>85</v>
      </c>
      <c r="N107" s="10"/>
      <c r="O107" s="15"/>
      <c r="P107" s="15" t="s">
        <v>86</v>
      </c>
      <c r="Q107" s="10" t="s">
        <v>80</v>
      </c>
      <c r="R107" s="11"/>
      <c r="S107" s="10"/>
      <c r="T107" s="10" t="s">
        <v>294</v>
      </c>
      <c r="U107" s="45">
        <v>60</v>
      </c>
      <c r="V107" s="10" t="s">
        <v>274</v>
      </c>
    </row>
    <row r="108" spans="1:22" ht="31.5" customHeight="1" x14ac:dyDescent="1.1000000000000001">
      <c r="A108" s="48"/>
      <c r="B108" s="10" t="s">
        <v>81</v>
      </c>
      <c r="C108" s="10" t="s">
        <v>82</v>
      </c>
      <c r="D108" s="11">
        <v>46205</v>
      </c>
      <c r="E108" s="10" t="s">
        <v>83</v>
      </c>
      <c r="F108" s="10" t="s">
        <v>122</v>
      </c>
      <c r="G108" s="12"/>
      <c r="H108" s="13" t="str">
        <f>IF(G108="","",IFERROR(G108/Settings!$B$3,""))</f>
        <v/>
      </c>
      <c r="I108" s="10" t="s">
        <v>36</v>
      </c>
      <c r="J108" s="23" t="s">
        <v>72</v>
      </c>
      <c r="K108" s="10" t="s">
        <v>65</v>
      </c>
      <c r="L108" s="10" t="s">
        <v>84</v>
      </c>
      <c r="M108" s="10" t="s">
        <v>85</v>
      </c>
      <c r="N108" s="10"/>
      <c r="O108" s="15"/>
      <c r="P108" s="15" t="s">
        <v>86</v>
      </c>
      <c r="Q108" s="10" t="s">
        <v>80</v>
      </c>
      <c r="R108" s="11"/>
      <c r="S108" s="10"/>
      <c r="T108" s="10" t="s">
        <v>295</v>
      </c>
      <c r="U108" s="45">
        <v>110</v>
      </c>
      <c r="V108" s="10" t="s">
        <v>274</v>
      </c>
    </row>
    <row r="109" spans="1:22" ht="31.5" customHeight="1" x14ac:dyDescent="1.1000000000000001">
      <c r="A109" s="48"/>
      <c r="B109" s="10" t="s">
        <v>81</v>
      </c>
      <c r="C109" s="10" t="s">
        <v>82</v>
      </c>
      <c r="D109" s="11">
        <v>46206</v>
      </c>
      <c r="E109" s="10" t="s">
        <v>83</v>
      </c>
      <c r="F109" s="10" t="s">
        <v>122</v>
      </c>
      <c r="G109" s="12"/>
      <c r="H109" s="13" t="str">
        <f>IF(G109="","",IFERROR(G109/Settings!$B$3,""))</f>
        <v/>
      </c>
      <c r="I109" s="10" t="s">
        <v>36</v>
      </c>
      <c r="J109" s="23" t="s">
        <v>72</v>
      </c>
      <c r="K109" s="10" t="s">
        <v>65</v>
      </c>
      <c r="L109" s="10" t="s">
        <v>84</v>
      </c>
      <c r="M109" s="10" t="s">
        <v>85</v>
      </c>
      <c r="N109" s="10"/>
      <c r="O109" s="15"/>
      <c r="P109" s="15" t="s">
        <v>86</v>
      </c>
      <c r="Q109" s="10" t="s">
        <v>80</v>
      </c>
      <c r="R109" s="11"/>
      <c r="S109" s="10"/>
      <c r="T109" s="10" t="s">
        <v>276</v>
      </c>
      <c r="U109" s="45">
        <v>170</v>
      </c>
      <c r="V109" s="10" t="s">
        <v>274</v>
      </c>
    </row>
    <row r="110" spans="1:22" ht="31.5" customHeight="1" x14ac:dyDescent="1.1000000000000001">
      <c r="A110" s="48"/>
      <c r="B110" s="10" t="s">
        <v>81</v>
      </c>
      <c r="C110" s="10" t="s">
        <v>82</v>
      </c>
      <c r="D110" s="11">
        <v>46207</v>
      </c>
      <c r="E110" s="10" t="s">
        <v>83</v>
      </c>
      <c r="F110" s="10" t="s">
        <v>122</v>
      </c>
      <c r="G110" s="12"/>
      <c r="H110" s="13" t="str">
        <f>IF(G110="","",IFERROR(G110/Settings!$B$3,""))</f>
        <v/>
      </c>
      <c r="I110" s="10" t="s">
        <v>36</v>
      </c>
      <c r="J110" s="23" t="s">
        <v>72</v>
      </c>
      <c r="K110" s="10" t="s">
        <v>65</v>
      </c>
      <c r="L110" s="10" t="s">
        <v>84</v>
      </c>
      <c r="M110" s="10" t="s">
        <v>85</v>
      </c>
      <c r="N110" s="10"/>
      <c r="O110" s="15"/>
      <c r="P110" s="15" t="s">
        <v>86</v>
      </c>
      <c r="Q110" s="10" t="s">
        <v>80</v>
      </c>
      <c r="R110" s="11"/>
      <c r="S110" s="10"/>
      <c r="T110" s="10" t="s">
        <v>277</v>
      </c>
      <c r="U110" s="45">
        <v>160</v>
      </c>
      <c r="V110" s="10" t="s">
        <v>274</v>
      </c>
    </row>
    <row r="111" spans="1:22" ht="31.5" customHeight="1" x14ac:dyDescent="1.1000000000000001">
      <c r="A111" s="48"/>
      <c r="B111" s="10" t="s">
        <v>81</v>
      </c>
      <c r="C111" s="10" t="s">
        <v>82</v>
      </c>
      <c r="D111" s="11">
        <v>46208</v>
      </c>
      <c r="E111" s="10" t="s">
        <v>83</v>
      </c>
      <c r="F111" s="10" t="s">
        <v>122</v>
      </c>
      <c r="G111" s="12"/>
      <c r="H111" s="13" t="str">
        <f>IF(G111="","",IFERROR(G111/Settings!$B$3,""))</f>
        <v/>
      </c>
      <c r="I111" s="10" t="s">
        <v>36</v>
      </c>
      <c r="J111" s="23" t="s">
        <v>72</v>
      </c>
      <c r="K111" s="10" t="s">
        <v>65</v>
      </c>
      <c r="L111" s="10" t="s">
        <v>84</v>
      </c>
      <c r="M111" s="10" t="s">
        <v>85</v>
      </c>
      <c r="N111" s="10"/>
      <c r="O111" s="15"/>
      <c r="P111" s="15" t="s">
        <v>86</v>
      </c>
      <c r="Q111" s="10" t="s">
        <v>80</v>
      </c>
      <c r="R111" s="11"/>
      <c r="S111" s="10"/>
      <c r="T111" s="10" t="s">
        <v>278</v>
      </c>
      <c r="U111" s="45">
        <v>70</v>
      </c>
      <c r="V111" s="10" t="s">
        <v>274</v>
      </c>
    </row>
    <row r="112" spans="1:22" ht="31.5" customHeight="1" x14ac:dyDescent="1.1000000000000001">
      <c r="A112" s="48"/>
      <c r="B112" s="10" t="s">
        <v>81</v>
      </c>
      <c r="C112" s="10" t="s">
        <v>82</v>
      </c>
      <c r="D112" s="11">
        <v>46209</v>
      </c>
      <c r="E112" s="10" t="s">
        <v>83</v>
      </c>
      <c r="F112" s="10" t="s">
        <v>122</v>
      </c>
      <c r="G112" s="12"/>
      <c r="H112" s="13" t="str">
        <f>IF(G112="","",IFERROR(G112/Settings!$B$3,""))</f>
        <v/>
      </c>
      <c r="I112" s="10" t="s">
        <v>36</v>
      </c>
      <c r="J112" s="23" t="s">
        <v>72</v>
      </c>
      <c r="K112" s="10" t="s">
        <v>65</v>
      </c>
      <c r="L112" s="10" t="s">
        <v>84</v>
      </c>
      <c r="M112" s="10" t="s">
        <v>85</v>
      </c>
      <c r="N112" s="10"/>
      <c r="O112" s="15"/>
      <c r="P112" s="15" t="s">
        <v>86</v>
      </c>
      <c r="Q112" s="10" t="s">
        <v>80</v>
      </c>
      <c r="R112" s="11"/>
      <c r="S112" s="10"/>
      <c r="T112" s="10" t="s">
        <v>296</v>
      </c>
      <c r="U112" s="45">
        <v>30</v>
      </c>
      <c r="V112" s="10" t="s">
        <v>220</v>
      </c>
    </row>
    <row r="113" spans="1:22" ht="31.5" customHeight="1" x14ac:dyDescent="1.1000000000000001">
      <c r="A113" s="48"/>
      <c r="B113" s="10" t="s">
        <v>81</v>
      </c>
      <c r="C113" s="10" t="s">
        <v>82</v>
      </c>
      <c r="D113" s="11">
        <v>46210</v>
      </c>
      <c r="E113" s="10" t="s">
        <v>83</v>
      </c>
      <c r="F113" s="10" t="s">
        <v>122</v>
      </c>
      <c r="G113" s="12"/>
      <c r="H113" s="13" t="str">
        <f>IF(G113="","",IFERROR(G113/Settings!$B$3,""))</f>
        <v/>
      </c>
      <c r="I113" s="10" t="s">
        <v>36</v>
      </c>
      <c r="J113" s="23" t="s">
        <v>72</v>
      </c>
      <c r="K113" s="10" t="s">
        <v>65</v>
      </c>
      <c r="L113" s="10" t="s">
        <v>84</v>
      </c>
      <c r="M113" s="10" t="s">
        <v>85</v>
      </c>
      <c r="N113" s="10"/>
      <c r="O113" s="15"/>
      <c r="P113" s="15" t="s">
        <v>86</v>
      </c>
      <c r="Q113" s="10" t="s">
        <v>80</v>
      </c>
      <c r="R113" s="11"/>
      <c r="S113" s="10"/>
      <c r="T113" s="10" t="s">
        <v>297</v>
      </c>
      <c r="U113" s="45">
        <v>50</v>
      </c>
      <c r="V113" s="10" t="s">
        <v>213</v>
      </c>
    </row>
    <row r="114" spans="1:22" ht="31.5" customHeight="1" x14ac:dyDescent="1.1000000000000001">
      <c r="A114" s="48"/>
      <c r="B114" s="10" t="s">
        <v>81</v>
      </c>
      <c r="C114" s="10" t="s">
        <v>82</v>
      </c>
      <c r="D114" s="11">
        <v>46211</v>
      </c>
      <c r="E114" s="10" t="s">
        <v>83</v>
      </c>
      <c r="F114" s="10" t="s">
        <v>122</v>
      </c>
      <c r="G114" s="12"/>
      <c r="H114" s="13" t="str">
        <f>IF(G114="","",IFERROR(G114/Settings!$B$3,""))</f>
        <v/>
      </c>
      <c r="I114" s="10" t="s">
        <v>36</v>
      </c>
      <c r="J114" s="23" t="s">
        <v>72</v>
      </c>
      <c r="K114" s="10" t="s">
        <v>65</v>
      </c>
      <c r="L114" s="10" t="s">
        <v>84</v>
      </c>
      <c r="M114" s="10" t="s">
        <v>85</v>
      </c>
      <c r="N114" s="10"/>
      <c r="O114" s="15"/>
      <c r="P114" s="15" t="s">
        <v>86</v>
      </c>
      <c r="Q114" s="10" t="s">
        <v>80</v>
      </c>
      <c r="R114" s="11"/>
      <c r="S114" s="10"/>
      <c r="T114" s="10" t="s">
        <v>298</v>
      </c>
      <c r="U114" s="45">
        <v>65</v>
      </c>
      <c r="V114" s="10" t="s">
        <v>213</v>
      </c>
    </row>
    <row r="115" spans="1:22" ht="31.5" customHeight="1" x14ac:dyDescent="1.1000000000000001">
      <c r="A115" s="48"/>
      <c r="B115" s="10" t="s">
        <v>81</v>
      </c>
      <c r="C115" s="10" t="s">
        <v>82</v>
      </c>
      <c r="D115" s="11">
        <v>46212</v>
      </c>
      <c r="E115" s="10" t="s">
        <v>83</v>
      </c>
      <c r="F115" s="10" t="s">
        <v>122</v>
      </c>
      <c r="G115" s="12"/>
      <c r="H115" s="13" t="str">
        <f>IF(G115="","",IFERROR(G115/Settings!$B$3,""))</f>
        <v/>
      </c>
      <c r="I115" s="10" t="s">
        <v>36</v>
      </c>
      <c r="J115" s="23" t="s">
        <v>72</v>
      </c>
      <c r="K115" s="10" t="s">
        <v>65</v>
      </c>
      <c r="L115" s="10" t="s">
        <v>84</v>
      </c>
      <c r="M115" s="10" t="s">
        <v>85</v>
      </c>
      <c r="N115" s="10"/>
      <c r="O115" s="15"/>
      <c r="P115" s="15" t="s">
        <v>86</v>
      </c>
      <c r="Q115" s="10" t="s">
        <v>80</v>
      </c>
      <c r="R115" s="11"/>
      <c r="S115" s="10"/>
      <c r="T115" s="10" t="s">
        <v>299</v>
      </c>
      <c r="U115" s="45">
        <v>65</v>
      </c>
      <c r="V115" s="10" t="s">
        <v>213</v>
      </c>
    </row>
    <row r="116" spans="1:22" ht="31.5" customHeight="1" x14ac:dyDescent="1.1000000000000001">
      <c r="A116" s="48"/>
      <c r="B116" s="10" t="s">
        <v>81</v>
      </c>
      <c r="C116" s="10" t="s">
        <v>82</v>
      </c>
      <c r="D116" s="11">
        <v>46213</v>
      </c>
      <c r="E116" s="10" t="s">
        <v>83</v>
      </c>
      <c r="F116" s="10" t="s">
        <v>122</v>
      </c>
      <c r="G116" s="12"/>
      <c r="H116" s="13" t="str">
        <f>IF(G116="","",IFERROR(G116/Settings!$B$3,""))</f>
        <v/>
      </c>
      <c r="I116" s="10" t="s">
        <v>36</v>
      </c>
      <c r="J116" s="23" t="s">
        <v>72</v>
      </c>
      <c r="K116" s="10" t="s">
        <v>65</v>
      </c>
      <c r="L116" s="10" t="s">
        <v>84</v>
      </c>
      <c r="M116" s="10" t="s">
        <v>85</v>
      </c>
      <c r="N116" s="10"/>
      <c r="O116" s="15"/>
      <c r="P116" s="15" t="s">
        <v>86</v>
      </c>
      <c r="Q116" s="10" t="s">
        <v>80</v>
      </c>
      <c r="R116" s="11"/>
      <c r="S116" s="10"/>
      <c r="T116" s="10" t="s">
        <v>300</v>
      </c>
      <c r="U116" s="45">
        <v>80</v>
      </c>
      <c r="V116" s="10" t="s">
        <v>213</v>
      </c>
    </row>
    <row r="117" spans="1:22" ht="31.5" customHeight="1" x14ac:dyDescent="1.1000000000000001">
      <c r="A117" s="48"/>
      <c r="B117" s="10" t="s">
        <v>81</v>
      </c>
      <c r="C117" s="10" t="s">
        <v>82</v>
      </c>
      <c r="D117" s="11">
        <v>46214</v>
      </c>
      <c r="E117" s="10" t="s">
        <v>83</v>
      </c>
      <c r="F117" s="10" t="s">
        <v>122</v>
      </c>
      <c r="G117" s="12"/>
      <c r="H117" s="13" t="str">
        <f>IF(G117="","",IFERROR(G117/Settings!$B$3,""))</f>
        <v/>
      </c>
      <c r="I117" s="10" t="s">
        <v>36</v>
      </c>
      <c r="J117" s="23" t="s">
        <v>72</v>
      </c>
      <c r="K117" s="10" t="s">
        <v>65</v>
      </c>
      <c r="L117" s="10" t="s">
        <v>84</v>
      </c>
      <c r="M117" s="10" t="s">
        <v>85</v>
      </c>
      <c r="N117" s="10"/>
      <c r="O117" s="15"/>
      <c r="P117" s="15" t="s">
        <v>86</v>
      </c>
      <c r="Q117" s="10" t="s">
        <v>80</v>
      </c>
      <c r="R117" s="11"/>
      <c r="S117" s="10"/>
      <c r="T117" s="10" t="s">
        <v>301</v>
      </c>
      <c r="U117" s="45">
        <v>85</v>
      </c>
      <c r="V117" s="10" t="s">
        <v>213</v>
      </c>
    </row>
    <row r="118" spans="1:22" ht="31.5" customHeight="1" x14ac:dyDescent="1.1000000000000001">
      <c r="A118" s="48"/>
      <c r="B118" s="10" t="s">
        <v>81</v>
      </c>
      <c r="C118" s="10" t="s">
        <v>82</v>
      </c>
      <c r="D118" s="11">
        <v>46215</v>
      </c>
      <c r="E118" s="10" t="s">
        <v>83</v>
      </c>
      <c r="F118" s="10" t="s">
        <v>122</v>
      </c>
      <c r="G118" s="12"/>
      <c r="H118" s="13" t="str">
        <f>IF(G118="","",IFERROR(G118/Settings!$B$3,""))</f>
        <v/>
      </c>
      <c r="I118" s="10" t="s">
        <v>36</v>
      </c>
      <c r="J118" s="23" t="s">
        <v>72</v>
      </c>
      <c r="K118" s="10" t="s">
        <v>65</v>
      </c>
      <c r="L118" s="10" t="s">
        <v>84</v>
      </c>
      <c r="M118" s="10" t="s">
        <v>85</v>
      </c>
      <c r="N118" s="10"/>
      <c r="O118" s="15"/>
      <c r="P118" s="15" t="s">
        <v>86</v>
      </c>
      <c r="Q118" s="10" t="s">
        <v>80</v>
      </c>
      <c r="R118" s="11"/>
      <c r="S118" s="10"/>
      <c r="T118" s="10" t="s">
        <v>302</v>
      </c>
      <c r="U118" s="45">
        <v>150</v>
      </c>
      <c r="V118" s="10" t="s">
        <v>213</v>
      </c>
    </row>
    <row r="119" spans="1:22" ht="31.5" customHeight="1" x14ac:dyDescent="1.1000000000000001">
      <c r="A119" s="48"/>
      <c r="B119" s="10" t="s">
        <v>81</v>
      </c>
      <c r="C119" s="10" t="s">
        <v>82</v>
      </c>
      <c r="D119" s="11">
        <v>46216</v>
      </c>
      <c r="E119" s="10" t="s">
        <v>83</v>
      </c>
      <c r="F119" s="10" t="s">
        <v>122</v>
      </c>
      <c r="G119" s="12"/>
      <c r="H119" s="13" t="str">
        <f>IF(G119="","",IFERROR(G119/Settings!$B$3,""))</f>
        <v/>
      </c>
      <c r="I119" s="10" t="s">
        <v>36</v>
      </c>
      <c r="J119" s="23" t="s">
        <v>72</v>
      </c>
      <c r="K119" s="10" t="s">
        <v>65</v>
      </c>
      <c r="L119" s="10" t="s">
        <v>84</v>
      </c>
      <c r="M119" s="10" t="s">
        <v>85</v>
      </c>
      <c r="N119" s="10"/>
      <c r="O119" s="15"/>
      <c r="P119" s="15" t="s">
        <v>86</v>
      </c>
      <c r="Q119" s="10" t="s">
        <v>80</v>
      </c>
      <c r="R119" s="11"/>
      <c r="S119" s="10"/>
      <c r="T119" s="10" t="s">
        <v>303</v>
      </c>
      <c r="U119" s="45">
        <v>815</v>
      </c>
      <c r="V119" s="10" t="s">
        <v>213</v>
      </c>
    </row>
    <row r="120" spans="1:22" ht="31.5" customHeight="1" x14ac:dyDescent="1.1000000000000001">
      <c r="A120" s="48"/>
      <c r="B120" s="10" t="s">
        <v>81</v>
      </c>
      <c r="C120" s="10" t="s">
        <v>82</v>
      </c>
      <c r="D120" s="11">
        <v>46217</v>
      </c>
      <c r="E120" s="10" t="s">
        <v>83</v>
      </c>
      <c r="F120" s="10" t="s">
        <v>122</v>
      </c>
      <c r="G120" s="12"/>
      <c r="H120" s="13" t="str">
        <f>IF(G120="","",IFERROR(G120/Settings!$B$3,""))</f>
        <v/>
      </c>
      <c r="I120" s="10" t="s">
        <v>36</v>
      </c>
      <c r="J120" s="23" t="s">
        <v>72</v>
      </c>
      <c r="K120" s="10" t="s">
        <v>65</v>
      </c>
      <c r="L120" s="10" t="s">
        <v>84</v>
      </c>
      <c r="M120" s="10" t="s">
        <v>85</v>
      </c>
      <c r="N120" s="10"/>
      <c r="O120" s="15"/>
      <c r="P120" s="15" t="s">
        <v>86</v>
      </c>
      <c r="Q120" s="10" t="s">
        <v>80</v>
      </c>
      <c r="R120" s="11"/>
      <c r="S120" s="10"/>
      <c r="T120" s="10" t="s">
        <v>304</v>
      </c>
      <c r="U120" s="45">
        <v>700</v>
      </c>
      <c r="V120" s="10" t="s">
        <v>220</v>
      </c>
    </row>
    <row r="121" spans="1:22" ht="31.5" customHeight="1" x14ac:dyDescent="1.1000000000000001">
      <c r="A121" s="48"/>
      <c r="B121" s="10" t="s">
        <v>81</v>
      </c>
      <c r="C121" s="10" t="s">
        <v>82</v>
      </c>
      <c r="D121" s="11">
        <v>46218</v>
      </c>
      <c r="E121" s="10" t="s">
        <v>83</v>
      </c>
      <c r="F121" s="10" t="s">
        <v>122</v>
      </c>
      <c r="G121" s="12"/>
      <c r="H121" s="13" t="str">
        <f>IF(G121="","",IFERROR(G121/Settings!$B$3,""))</f>
        <v/>
      </c>
      <c r="I121" s="10" t="s">
        <v>36</v>
      </c>
      <c r="J121" s="23" t="s">
        <v>72</v>
      </c>
      <c r="K121" s="10" t="s">
        <v>65</v>
      </c>
      <c r="L121" s="10" t="s">
        <v>84</v>
      </c>
      <c r="M121" s="10" t="s">
        <v>85</v>
      </c>
      <c r="N121" s="10"/>
      <c r="O121" s="15"/>
      <c r="P121" s="15" t="s">
        <v>86</v>
      </c>
      <c r="Q121" s="10" t="s">
        <v>80</v>
      </c>
      <c r="R121" s="11"/>
      <c r="S121" s="10"/>
      <c r="T121" s="10" t="s">
        <v>305</v>
      </c>
      <c r="U121" s="45">
        <v>10</v>
      </c>
      <c r="V121" s="10" t="s">
        <v>213</v>
      </c>
    </row>
    <row r="122" spans="1:22" ht="31.5" customHeight="1" x14ac:dyDescent="1.1000000000000001">
      <c r="A122" s="48"/>
      <c r="B122" s="10" t="s">
        <v>81</v>
      </c>
      <c r="C122" s="10" t="s">
        <v>82</v>
      </c>
      <c r="D122" s="11">
        <v>46219</v>
      </c>
      <c r="E122" s="10" t="s">
        <v>83</v>
      </c>
      <c r="F122" s="10" t="s">
        <v>122</v>
      </c>
      <c r="G122" s="12"/>
      <c r="H122" s="13" t="str">
        <f>IF(G122="","",IFERROR(G122/Settings!$B$3,""))</f>
        <v/>
      </c>
      <c r="I122" s="10" t="s">
        <v>36</v>
      </c>
      <c r="J122" s="23" t="s">
        <v>72</v>
      </c>
      <c r="K122" s="10" t="s">
        <v>65</v>
      </c>
      <c r="L122" s="10" t="s">
        <v>84</v>
      </c>
      <c r="M122" s="10" t="s">
        <v>85</v>
      </c>
      <c r="N122" s="10"/>
      <c r="O122" s="15"/>
      <c r="P122" s="15" t="s">
        <v>86</v>
      </c>
      <c r="Q122" s="10" t="s">
        <v>80</v>
      </c>
      <c r="R122" s="11"/>
      <c r="S122" s="10"/>
      <c r="T122" s="10" t="s">
        <v>306</v>
      </c>
      <c r="U122" s="45">
        <v>150</v>
      </c>
      <c r="V122" s="10" t="s">
        <v>213</v>
      </c>
    </row>
    <row r="123" spans="1:22" ht="31.5" customHeight="1" x14ac:dyDescent="1.1000000000000001">
      <c r="A123" s="48"/>
      <c r="B123" s="10" t="s">
        <v>81</v>
      </c>
      <c r="C123" s="10" t="s">
        <v>82</v>
      </c>
      <c r="D123" s="11">
        <v>46220</v>
      </c>
      <c r="E123" s="10" t="s">
        <v>83</v>
      </c>
      <c r="F123" s="10" t="s">
        <v>122</v>
      </c>
      <c r="G123" s="12"/>
      <c r="H123" s="13" t="str">
        <f>IF(G123="","",IFERROR(G123/Settings!$B$3,""))</f>
        <v/>
      </c>
      <c r="I123" s="10" t="s">
        <v>36</v>
      </c>
      <c r="J123" s="23" t="s">
        <v>72</v>
      </c>
      <c r="K123" s="10" t="s">
        <v>65</v>
      </c>
      <c r="L123" s="10" t="s">
        <v>84</v>
      </c>
      <c r="M123" s="10" t="s">
        <v>85</v>
      </c>
      <c r="N123" s="10"/>
      <c r="O123" s="15"/>
      <c r="P123" s="15" t="s">
        <v>86</v>
      </c>
      <c r="Q123" s="10" t="s">
        <v>80</v>
      </c>
      <c r="R123" s="11"/>
      <c r="S123" s="10"/>
      <c r="T123" s="10" t="s">
        <v>307</v>
      </c>
      <c r="U123" s="45">
        <v>50</v>
      </c>
      <c r="V123" s="10" t="s">
        <v>213</v>
      </c>
    </row>
    <row r="124" spans="1:22" ht="31.5" customHeight="1" x14ac:dyDescent="1.1000000000000001">
      <c r="A124" s="48"/>
      <c r="B124" s="10" t="s">
        <v>81</v>
      </c>
      <c r="C124" s="10" t="s">
        <v>82</v>
      </c>
      <c r="D124" s="11">
        <v>46221</v>
      </c>
      <c r="E124" s="10" t="s">
        <v>83</v>
      </c>
      <c r="F124" s="10" t="s">
        <v>122</v>
      </c>
      <c r="G124" s="12"/>
      <c r="H124" s="13" t="str">
        <f>IF(G124="","",IFERROR(G124/Settings!$B$3,""))</f>
        <v/>
      </c>
      <c r="I124" s="10" t="s">
        <v>36</v>
      </c>
      <c r="J124" s="23" t="s">
        <v>72</v>
      </c>
      <c r="K124" s="10" t="s">
        <v>65</v>
      </c>
      <c r="L124" s="10" t="s">
        <v>84</v>
      </c>
      <c r="M124" s="10" t="s">
        <v>85</v>
      </c>
      <c r="N124" s="10"/>
      <c r="O124" s="15"/>
      <c r="P124" s="15" t="s">
        <v>86</v>
      </c>
      <c r="Q124" s="10" t="s">
        <v>80</v>
      </c>
      <c r="R124" s="11"/>
      <c r="S124" s="10"/>
      <c r="T124" s="10" t="s">
        <v>308</v>
      </c>
      <c r="U124" s="45">
        <v>50</v>
      </c>
      <c r="V124" s="10" t="s">
        <v>213</v>
      </c>
    </row>
    <row r="125" spans="1:22" ht="31.5" customHeight="1" x14ac:dyDescent="1.1000000000000001">
      <c r="A125" s="48"/>
      <c r="B125" s="10" t="s">
        <v>81</v>
      </c>
      <c r="C125" s="10" t="s">
        <v>82</v>
      </c>
      <c r="D125" s="11">
        <v>46222</v>
      </c>
      <c r="E125" s="10" t="s">
        <v>83</v>
      </c>
      <c r="F125" s="10" t="s">
        <v>122</v>
      </c>
      <c r="G125" s="12"/>
      <c r="H125" s="13" t="str">
        <f>IF(G125="","",IFERROR(G125/Settings!$B$3,""))</f>
        <v/>
      </c>
      <c r="I125" s="10" t="s">
        <v>36</v>
      </c>
      <c r="J125" s="23" t="s">
        <v>72</v>
      </c>
      <c r="K125" s="10" t="s">
        <v>65</v>
      </c>
      <c r="L125" s="10" t="s">
        <v>84</v>
      </c>
      <c r="M125" s="10" t="s">
        <v>85</v>
      </c>
      <c r="N125" s="10"/>
      <c r="O125" s="15"/>
      <c r="P125" s="15" t="s">
        <v>86</v>
      </c>
      <c r="Q125" s="10" t="s">
        <v>80</v>
      </c>
      <c r="R125" s="11"/>
      <c r="S125" s="10"/>
      <c r="T125" s="10" t="s">
        <v>309</v>
      </c>
      <c r="U125" s="45">
        <v>32</v>
      </c>
      <c r="V125" s="10" t="s">
        <v>213</v>
      </c>
    </row>
    <row r="126" spans="1:22" ht="31.5" customHeight="1" x14ac:dyDescent="1.1000000000000001">
      <c r="A126" s="48"/>
      <c r="B126" s="10" t="s">
        <v>81</v>
      </c>
      <c r="C126" s="10" t="s">
        <v>82</v>
      </c>
      <c r="D126" s="11">
        <v>46223</v>
      </c>
      <c r="E126" s="10" t="s">
        <v>83</v>
      </c>
      <c r="F126" s="10" t="s">
        <v>122</v>
      </c>
      <c r="G126" s="12"/>
      <c r="H126" s="13" t="str">
        <f>IF(G126="","",IFERROR(G126/Settings!$B$3,""))</f>
        <v/>
      </c>
      <c r="I126" s="10" t="s">
        <v>36</v>
      </c>
      <c r="J126" s="23" t="s">
        <v>72</v>
      </c>
      <c r="K126" s="10" t="s">
        <v>65</v>
      </c>
      <c r="L126" s="10" t="s">
        <v>84</v>
      </c>
      <c r="M126" s="10" t="s">
        <v>85</v>
      </c>
      <c r="N126" s="10"/>
      <c r="O126" s="15"/>
      <c r="P126" s="15" t="s">
        <v>86</v>
      </c>
      <c r="Q126" s="10" t="s">
        <v>80</v>
      </c>
      <c r="R126" s="11"/>
      <c r="S126" s="10"/>
      <c r="T126" s="10" t="s">
        <v>310</v>
      </c>
      <c r="U126" s="45">
        <v>10</v>
      </c>
      <c r="V126" s="10" t="s">
        <v>213</v>
      </c>
    </row>
    <row r="127" spans="1:22" ht="31.5" customHeight="1" x14ac:dyDescent="1.1000000000000001">
      <c r="A127" s="48"/>
      <c r="B127" s="10" t="s">
        <v>81</v>
      </c>
      <c r="C127" s="10" t="s">
        <v>82</v>
      </c>
      <c r="D127" s="11">
        <v>46224</v>
      </c>
      <c r="E127" s="10" t="s">
        <v>83</v>
      </c>
      <c r="F127" s="10" t="s">
        <v>122</v>
      </c>
      <c r="G127" s="12"/>
      <c r="H127" s="13" t="str">
        <f>IF(G127="","",IFERROR(G127/Settings!$B$3,""))</f>
        <v/>
      </c>
      <c r="I127" s="10" t="s">
        <v>36</v>
      </c>
      <c r="J127" s="23" t="s">
        <v>72</v>
      </c>
      <c r="K127" s="10" t="s">
        <v>65</v>
      </c>
      <c r="L127" s="10" t="s">
        <v>84</v>
      </c>
      <c r="M127" s="10" t="s">
        <v>85</v>
      </c>
      <c r="N127" s="10"/>
      <c r="O127" s="15"/>
      <c r="P127" s="15" t="s">
        <v>86</v>
      </c>
      <c r="Q127" s="10" t="s">
        <v>80</v>
      </c>
      <c r="R127" s="11"/>
      <c r="S127" s="10"/>
      <c r="T127" s="10" t="s">
        <v>311</v>
      </c>
      <c r="U127" s="45">
        <v>10</v>
      </c>
      <c r="V127" s="10" t="s">
        <v>213</v>
      </c>
    </row>
    <row r="128" spans="1:22" ht="31.5" customHeight="1" x14ac:dyDescent="1.1000000000000001">
      <c r="A128" s="48"/>
      <c r="B128" s="10" t="s">
        <v>81</v>
      </c>
      <c r="C128" s="10" t="s">
        <v>82</v>
      </c>
      <c r="D128" s="11">
        <v>46225</v>
      </c>
      <c r="E128" s="10" t="s">
        <v>83</v>
      </c>
      <c r="F128" s="10" t="s">
        <v>122</v>
      </c>
      <c r="G128" s="12"/>
      <c r="H128" s="13" t="str">
        <f>IF(G128="","",IFERROR(G128/Settings!$B$3,""))</f>
        <v/>
      </c>
      <c r="I128" s="10" t="s">
        <v>36</v>
      </c>
      <c r="J128" s="23" t="s">
        <v>72</v>
      </c>
      <c r="K128" s="10" t="s">
        <v>65</v>
      </c>
      <c r="L128" s="10" t="s">
        <v>84</v>
      </c>
      <c r="M128" s="10" t="s">
        <v>85</v>
      </c>
      <c r="N128" s="10"/>
      <c r="O128" s="15"/>
      <c r="P128" s="15" t="s">
        <v>86</v>
      </c>
      <c r="Q128" s="10" t="s">
        <v>80</v>
      </c>
      <c r="R128" s="11"/>
      <c r="S128" s="10"/>
      <c r="T128" s="10" t="s">
        <v>285</v>
      </c>
      <c r="U128" s="45">
        <v>100</v>
      </c>
      <c r="V128" s="10" t="s">
        <v>213</v>
      </c>
    </row>
    <row r="129" spans="1:22" ht="31.5" customHeight="1" x14ac:dyDescent="1.1000000000000001">
      <c r="A129" s="48"/>
      <c r="B129" s="10" t="s">
        <v>81</v>
      </c>
      <c r="C129" s="10" t="s">
        <v>82</v>
      </c>
      <c r="D129" s="11">
        <v>46226</v>
      </c>
      <c r="E129" s="10" t="s">
        <v>83</v>
      </c>
      <c r="F129" s="10" t="s">
        <v>122</v>
      </c>
      <c r="G129" s="12"/>
      <c r="H129" s="13" t="str">
        <f>IF(G129="","",IFERROR(G129/Settings!$B$3,""))</f>
        <v/>
      </c>
      <c r="I129" s="10" t="s">
        <v>36</v>
      </c>
      <c r="J129" s="23" t="s">
        <v>72</v>
      </c>
      <c r="K129" s="10" t="s">
        <v>65</v>
      </c>
      <c r="L129" s="10" t="s">
        <v>84</v>
      </c>
      <c r="M129" s="10" t="s">
        <v>85</v>
      </c>
      <c r="N129" s="10"/>
      <c r="O129" s="15"/>
      <c r="P129" s="15" t="s">
        <v>86</v>
      </c>
      <c r="Q129" s="10" t="s">
        <v>80</v>
      </c>
      <c r="R129" s="11"/>
      <c r="S129" s="10"/>
      <c r="T129" s="10" t="s">
        <v>312</v>
      </c>
      <c r="U129" s="45">
        <v>100</v>
      </c>
      <c r="V129" s="10" t="s">
        <v>313</v>
      </c>
    </row>
    <row r="130" spans="1:22" ht="31.5" customHeight="1" x14ac:dyDescent="1.1000000000000001">
      <c r="A130" s="48"/>
      <c r="B130" s="10" t="s">
        <v>81</v>
      </c>
      <c r="C130" s="10" t="s">
        <v>82</v>
      </c>
      <c r="D130" s="11">
        <v>46227</v>
      </c>
      <c r="E130" s="10" t="s">
        <v>83</v>
      </c>
      <c r="F130" s="10" t="s">
        <v>122</v>
      </c>
      <c r="G130" s="12"/>
      <c r="H130" s="13" t="str">
        <f>IF(G130="","",IFERROR(G130/Settings!$B$3,""))</f>
        <v/>
      </c>
      <c r="I130" s="10" t="s">
        <v>36</v>
      </c>
      <c r="J130" s="23" t="s">
        <v>72</v>
      </c>
      <c r="K130" s="10" t="s">
        <v>65</v>
      </c>
      <c r="L130" s="10" t="s">
        <v>84</v>
      </c>
      <c r="M130" s="10" t="s">
        <v>85</v>
      </c>
      <c r="N130" s="10"/>
      <c r="O130" s="15"/>
      <c r="P130" s="15" t="s">
        <v>86</v>
      </c>
      <c r="Q130" s="10" t="s">
        <v>80</v>
      </c>
      <c r="R130" s="11"/>
      <c r="S130" s="10"/>
      <c r="T130" s="10" t="s">
        <v>314</v>
      </c>
      <c r="U130" s="45">
        <v>3</v>
      </c>
      <c r="V130" s="10" t="s">
        <v>313</v>
      </c>
    </row>
    <row r="131" spans="1:22" ht="31.5" customHeight="1" x14ac:dyDescent="1.1000000000000001">
      <c r="A131" s="48"/>
      <c r="B131" s="10" t="s">
        <v>81</v>
      </c>
      <c r="C131" s="10" t="s">
        <v>82</v>
      </c>
      <c r="D131" s="11">
        <v>46228</v>
      </c>
      <c r="E131" s="10" t="s">
        <v>83</v>
      </c>
      <c r="F131" s="10" t="s">
        <v>122</v>
      </c>
      <c r="G131" s="12"/>
      <c r="H131" s="13" t="str">
        <f>IF(G131="","",IFERROR(G131/Settings!$B$3,""))</f>
        <v/>
      </c>
      <c r="I131" s="10" t="s">
        <v>36</v>
      </c>
      <c r="J131" s="23" t="s">
        <v>72</v>
      </c>
      <c r="K131" s="10" t="s">
        <v>65</v>
      </c>
      <c r="L131" s="10" t="s">
        <v>84</v>
      </c>
      <c r="M131" s="10" t="s">
        <v>85</v>
      </c>
      <c r="N131" s="10"/>
      <c r="O131" s="15"/>
      <c r="P131" s="15" t="s">
        <v>86</v>
      </c>
      <c r="Q131" s="10" t="s">
        <v>80</v>
      </c>
      <c r="R131" s="11"/>
      <c r="S131" s="10"/>
      <c r="T131" s="10" t="s">
        <v>315</v>
      </c>
      <c r="U131" s="45">
        <v>2</v>
      </c>
      <c r="V131" s="10" t="s">
        <v>220</v>
      </c>
    </row>
    <row r="132" spans="1:22" ht="31.5" customHeight="1" x14ac:dyDescent="1.1000000000000001">
      <c r="A132" s="48"/>
      <c r="B132" s="10" t="s">
        <v>81</v>
      </c>
      <c r="C132" s="10" t="s">
        <v>82</v>
      </c>
      <c r="D132" s="11">
        <v>46229</v>
      </c>
      <c r="E132" s="10" t="s">
        <v>83</v>
      </c>
      <c r="F132" s="10" t="s">
        <v>122</v>
      </c>
      <c r="G132" s="12"/>
      <c r="H132" s="13" t="str">
        <f>IF(G132="","",IFERROR(G132/Settings!$B$3,""))</f>
        <v/>
      </c>
      <c r="I132" s="10" t="s">
        <v>36</v>
      </c>
      <c r="J132" s="23" t="s">
        <v>72</v>
      </c>
      <c r="K132" s="10" t="s">
        <v>65</v>
      </c>
      <c r="L132" s="10" t="s">
        <v>84</v>
      </c>
      <c r="M132" s="10" t="s">
        <v>85</v>
      </c>
      <c r="N132" s="10"/>
      <c r="O132" s="15"/>
      <c r="P132" s="15" t="s">
        <v>86</v>
      </c>
      <c r="Q132" s="10" t="s">
        <v>80</v>
      </c>
      <c r="R132" s="11"/>
      <c r="S132" s="10"/>
      <c r="T132" s="10" t="s">
        <v>316</v>
      </c>
      <c r="U132" s="45">
        <v>1170</v>
      </c>
      <c r="V132" s="10" t="s">
        <v>213</v>
      </c>
    </row>
    <row r="133" spans="1:22" ht="31.5" customHeight="1" x14ac:dyDescent="1.1000000000000001">
      <c r="A133" s="48"/>
      <c r="B133" s="10" t="s">
        <v>81</v>
      </c>
      <c r="C133" s="10" t="s">
        <v>82</v>
      </c>
      <c r="D133" s="11">
        <v>46230</v>
      </c>
      <c r="E133" s="10" t="s">
        <v>83</v>
      </c>
      <c r="F133" s="10" t="s">
        <v>122</v>
      </c>
      <c r="G133" s="12"/>
      <c r="H133" s="13" t="str">
        <f>IF(G133="","",IFERROR(G133/Settings!$B$3,""))</f>
        <v/>
      </c>
      <c r="I133" s="10" t="s">
        <v>36</v>
      </c>
      <c r="J133" s="23" t="s">
        <v>72</v>
      </c>
      <c r="K133" s="10" t="s">
        <v>65</v>
      </c>
      <c r="L133" s="10" t="s">
        <v>84</v>
      </c>
      <c r="M133" s="10" t="s">
        <v>85</v>
      </c>
      <c r="N133" s="10"/>
      <c r="O133" s="15"/>
      <c r="P133" s="15" t="s">
        <v>86</v>
      </c>
      <c r="Q133" s="10" t="s">
        <v>80</v>
      </c>
      <c r="R133" s="11"/>
      <c r="S133" s="10"/>
      <c r="T133" s="10" t="s">
        <v>215</v>
      </c>
      <c r="U133" s="45">
        <v>200</v>
      </c>
      <c r="V133" s="10" t="s">
        <v>213</v>
      </c>
    </row>
    <row r="134" spans="1:22" ht="31.5" customHeight="1" x14ac:dyDescent="1.1000000000000001">
      <c r="A134" s="48"/>
      <c r="B134" s="10" t="s">
        <v>81</v>
      </c>
      <c r="C134" s="10" t="s">
        <v>82</v>
      </c>
      <c r="D134" s="11">
        <v>46231</v>
      </c>
      <c r="E134" s="10" t="s">
        <v>83</v>
      </c>
      <c r="F134" s="10" t="s">
        <v>122</v>
      </c>
      <c r="G134" s="12"/>
      <c r="H134" s="13" t="str">
        <f>IF(G134="","",IFERROR(G134/Settings!$B$3,""))</f>
        <v/>
      </c>
      <c r="I134" s="10" t="s">
        <v>36</v>
      </c>
      <c r="J134" s="23" t="s">
        <v>72</v>
      </c>
      <c r="K134" s="10" t="s">
        <v>65</v>
      </c>
      <c r="L134" s="10" t="s">
        <v>84</v>
      </c>
      <c r="M134" s="10" t="s">
        <v>85</v>
      </c>
      <c r="N134" s="10"/>
      <c r="O134" s="15"/>
      <c r="P134" s="15" t="s">
        <v>86</v>
      </c>
      <c r="Q134" s="10" t="s">
        <v>80</v>
      </c>
      <c r="R134" s="11"/>
      <c r="S134" s="10"/>
      <c r="T134" s="10" t="s">
        <v>317</v>
      </c>
      <c r="U134" s="45">
        <v>90</v>
      </c>
      <c r="V134" s="10" t="s">
        <v>213</v>
      </c>
    </row>
    <row r="135" spans="1:22" ht="31.5" customHeight="1" x14ac:dyDescent="1.1000000000000001">
      <c r="A135" s="48"/>
      <c r="B135" s="10" t="s">
        <v>81</v>
      </c>
      <c r="C135" s="10" t="s">
        <v>82</v>
      </c>
      <c r="D135" s="11">
        <v>46232</v>
      </c>
      <c r="E135" s="10" t="s">
        <v>83</v>
      </c>
      <c r="F135" s="10" t="s">
        <v>122</v>
      </c>
      <c r="G135" s="12"/>
      <c r="H135" s="13" t="str">
        <f>IF(G135="","",IFERROR(G135/Settings!$B$3,""))</f>
        <v/>
      </c>
      <c r="I135" s="10" t="s">
        <v>36</v>
      </c>
      <c r="J135" s="23" t="s">
        <v>72</v>
      </c>
      <c r="K135" s="10" t="s">
        <v>65</v>
      </c>
      <c r="L135" s="10" t="s">
        <v>84</v>
      </c>
      <c r="M135" s="10" t="s">
        <v>85</v>
      </c>
      <c r="N135" s="10"/>
      <c r="O135" s="15"/>
      <c r="P135" s="15" t="s">
        <v>86</v>
      </c>
      <c r="Q135" s="10" t="s">
        <v>80</v>
      </c>
      <c r="R135" s="11"/>
      <c r="S135" s="10"/>
      <c r="T135" s="10" t="s">
        <v>227</v>
      </c>
      <c r="U135" s="45">
        <v>20</v>
      </c>
      <c r="V135" s="10" t="s">
        <v>220</v>
      </c>
    </row>
    <row r="136" spans="1:22" ht="31.5" customHeight="1" x14ac:dyDescent="1.1000000000000001">
      <c r="A136" s="48"/>
      <c r="B136" s="10" t="s">
        <v>81</v>
      </c>
      <c r="C136" s="10" t="s">
        <v>82</v>
      </c>
      <c r="D136" s="11">
        <v>46233</v>
      </c>
      <c r="E136" s="10" t="s">
        <v>83</v>
      </c>
      <c r="F136" s="10" t="s">
        <v>122</v>
      </c>
      <c r="G136" s="12"/>
      <c r="H136" s="13" t="str">
        <f>IF(G136="","",IFERROR(G136/Settings!$B$3,""))</f>
        <v/>
      </c>
      <c r="I136" s="10" t="s">
        <v>36</v>
      </c>
      <c r="J136" s="23" t="s">
        <v>72</v>
      </c>
      <c r="K136" s="10" t="s">
        <v>65</v>
      </c>
      <c r="L136" s="10" t="s">
        <v>84</v>
      </c>
      <c r="M136" s="10" t="s">
        <v>85</v>
      </c>
      <c r="N136" s="10"/>
      <c r="O136" s="15"/>
      <c r="P136" s="15" t="s">
        <v>86</v>
      </c>
      <c r="Q136" s="10" t="s">
        <v>80</v>
      </c>
      <c r="R136" s="11"/>
      <c r="S136" s="10"/>
      <c r="T136" s="10" t="s">
        <v>318</v>
      </c>
      <c r="U136" s="45">
        <v>40</v>
      </c>
      <c r="V136" s="10" t="s">
        <v>220</v>
      </c>
    </row>
    <row r="137" spans="1:22" ht="31.5" customHeight="1" x14ac:dyDescent="1.1000000000000001">
      <c r="A137" s="48"/>
      <c r="B137" s="10" t="s">
        <v>81</v>
      </c>
      <c r="C137" s="10" t="s">
        <v>82</v>
      </c>
      <c r="D137" s="11">
        <v>46234</v>
      </c>
      <c r="E137" s="10" t="s">
        <v>83</v>
      </c>
      <c r="F137" s="10" t="s">
        <v>122</v>
      </c>
      <c r="G137" s="12"/>
      <c r="H137" s="13" t="str">
        <f>IF(G137="","",IFERROR(G137/Settings!$B$3,""))</f>
        <v/>
      </c>
      <c r="I137" s="10" t="s">
        <v>36</v>
      </c>
      <c r="J137" s="23" t="s">
        <v>72</v>
      </c>
      <c r="K137" s="10" t="s">
        <v>65</v>
      </c>
      <c r="L137" s="10" t="s">
        <v>84</v>
      </c>
      <c r="M137" s="10" t="s">
        <v>85</v>
      </c>
      <c r="N137" s="10"/>
      <c r="O137" s="15"/>
      <c r="P137" s="15" t="s">
        <v>86</v>
      </c>
      <c r="Q137" s="10" t="s">
        <v>80</v>
      </c>
      <c r="R137" s="11"/>
      <c r="S137" s="10"/>
      <c r="T137" s="10" t="s">
        <v>319</v>
      </c>
      <c r="U137" s="45">
        <v>15</v>
      </c>
      <c r="V137" s="10" t="s">
        <v>220</v>
      </c>
    </row>
    <row r="138" spans="1:22" ht="31.5" customHeight="1" x14ac:dyDescent="1.1000000000000001">
      <c r="A138" s="48"/>
      <c r="B138" s="10" t="s">
        <v>81</v>
      </c>
      <c r="C138" s="10" t="s">
        <v>82</v>
      </c>
      <c r="D138" s="11">
        <v>46235</v>
      </c>
      <c r="E138" s="10" t="s">
        <v>83</v>
      </c>
      <c r="F138" s="10" t="s">
        <v>122</v>
      </c>
      <c r="G138" s="12"/>
      <c r="H138" s="13" t="str">
        <f>IF(G138="","",IFERROR(G138/Settings!$B$3,""))</f>
        <v/>
      </c>
      <c r="I138" s="10" t="s">
        <v>36</v>
      </c>
      <c r="J138" s="23" t="s">
        <v>72</v>
      </c>
      <c r="K138" s="10" t="s">
        <v>65</v>
      </c>
      <c r="L138" s="10" t="s">
        <v>84</v>
      </c>
      <c r="M138" s="10" t="s">
        <v>85</v>
      </c>
      <c r="N138" s="10"/>
      <c r="O138" s="15"/>
      <c r="P138" s="15" t="s">
        <v>86</v>
      </c>
      <c r="Q138" s="10" t="s">
        <v>80</v>
      </c>
      <c r="R138" s="11"/>
      <c r="S138" s="10"/>
      <c r="T138" s="10" t="s">
        <v>320</v>
      </c>
      <c r="U138" s="45">
        <v>10</v>
      </c>
      <c r="V138" s="10" t="s">
        <v>220</v>
      </c>
    </row>
    <row r="139" spans="1:22" ht="31.5" customHeight="1" x14ac:dyDescent="1.1000000000000001">
      <c r="A139" s="48"/>
      <c r="B139" s="10" t="s">
        <v>81</v>
      </c>
      <c r="C139" s="10" t="s">
        <v>82</v>
      </c>
      <c r="D139" s="11">
        <v>46236</v>
      </c>
      <c r="E139" s="10" t="s">
        <v>83</v>
      </c>
      <c r="F139" s="10" t="s">
        <v>122</v>
      </c>
      <c r="G139" s="12"/>
      <c r="H139" s="13" t="str">
        <f>IF(G139="","",IFERROR(G139/Settings!$B$3,""))</f>
        <v/>
      </c>
      <c r="I139" s="10" t="s">
        <v>36</v>
      </c>
      <c r="J139" s="23" t="s">
        <v>72</v>
      </c>
      <c r="K139" s="10" t="s">
        <v>65</v>
      </c>
      <c r="L139" s="10" t="s">
        <v>84</v>
      </c>
      <c r="M139" s="10" t="s">
        <v>85</v>
      </c>
      <c r="N139" s="10"/>
      <c r="O139" s="15"/>
      <c r="P139" s="15" t="s">
        <v>86</v>
      </c>
      <c r="Q139" s="10" t="s">
        <v>80</v>
      </c>
      <c r="R139" s="11"/>
      <c r="S139" s="10"/>
      <c r="T139" s="10" t="s">
        <v>321</v>
      </c>
      <c r="U139" s="45">
        <v>50</v>
      </c>
      <c r="V139" s="10" t="s">
        <v>220</v>
      </c>
    </row>
    <row r="140" spans="1:22" ht="31.5" customHeight="1" x14ac:dyDescent="1.1000000000000001">
      <c r="A140" s="48"/>
      <c r="B140" s="10" t="s">
        <v>81</v>
      </c>
      <c r="C140" s="10" t="s">
        <v>82</v>
      </c>
      <c r="D140" s="11">
        <v>46237</v>
      </c>
      <c r="E140" s="10" t="s">
        <v>83</v>
      </c>
      <c r="F140" s="10" t="s">
        <v>122</v>
      </c>
      <c r="G140" s="12"/>
      <c r="H140" s="13" t="str">
        <f>IF(G140="","",IFERROR(G140/Settings!$B$3,""))</f>
        <v/>
      </c>
      <c r="I140" s="10" t="s">
        <v>36</v>
      </c>
      <c r="J140" s="23" t="s">
        <v>72</v>
      </c>
      <c r="K140" s="10" t="s">
        <v>65</v>
      </c>
      <c r="L140" s="10" t="s">
        <v>84</v>
      </c>
      <c r="M140" s="10" t="s">
        <v>85</v>
      </c>
      <c r="N140" s="10"/>
      <c r="O140" s="15"/>
      <c r="P140" s="15" t="s">
        <v>86</v>
      </c>
      <c r="Q140" s="10" t="s">
        <v>80</v>
      </c>
      <c r="R140" s="11"/>
      <c r="S140" s="10"/>
      <c r="T140" s="10" t="s">
        <v>322</v>
      </c>
      <c r="U140" s="45">
        <v>50</v>
      </c>
      <c r="V140" s="10" t="s">
        <v>220</v>
      </c>
    </row>
    <row r="141" spans="1:22" ht="31.5" customHeight="1" x14ac:dyDescent="1.1000000000000001">
      <c r="A141" s="48"/>
      <c r="B141" s="10" t="s">
        <v>81</v>
      </c>
      <c r="C141" s="10" t="s">
        <v>82</v>
      </c>
      <c r="D141" s="11">
        <v>46238</v>
      </c>
      <c r="E141" s="10" t="s">
        <v>83</v>
      </c>
      <c r="F141" s="10" t="s">
        <v>122</v>
      </c>
      <c r="G141" s="12"/>
      <c r="H141" s="13" t="str">
        <f>IF(G141="","",IFERROR(G141/Settings!$B$3,""))</f>
        <v/>
      </c>
      <c r="I141" s="10" t="s">
        <v>36</v>
      </c>
      <c r="J141" s="23" t="s">
        <v>72</v>
      </c>
      <c r="K141" s="10" t="s">
        <v>65</v>
      </c>
      <c r="L141" s="10" t="s">
        <v>84</v>
      </c>
      <c r="M141" s="10" t="s">
        <v>85</v>
      </c>
      <c r="N141" s="10"/>
      <c r="O141" s="15"/>
      <c r="P141" s="15" t="s">
        <v>86</v>
      </c>
      <c r="Q141" s="10" t="s">
        <v>80</v>
      </c>
      <c r="R141" s="11"/>
      <c r="S141" s="10"/>
      <c r="T141" s="10" t="s">
        <v>323</v>
      </c>
      <c r="U141" s="45">
        <v>200</v>
      </c>
      <c r="V141" s="10" t="s">
        <v>220</v>
      </c>
    </row>
    <row r="142" spans="1:22" ht="31.5" customHeight="1" x14ac:dyDescent="1.1000000000000001">
      <c r="A142" s="48"/>
      <c r="B142" s="10" t="s">
        <v>81</v>
      </c>
      <c r="C142" s="10" t="s">
        <v>82</v>
      </c>
      <c r="D142" s="11">
        <v>46239</v>
      </c>
      <c r="E142" s="10" t="s">
        <v>83</v>
      </c>
      <c r="F142" s="10" t="s">
        <v>122</v>
      </c>
      <c r="G142" s="12"/>
      <c r="H142" s="13" t="str">
        <f>IF(G142="","",IFERROR(G142/Settings!$B$3,""))</f>
        <v/>
      </c>
      <c r="I142" s="10" t="s">
        <v>36</v>
      </c>
      <c r="J142" s="23" t="s">
        <v>72</v>
      </c>
      <c r="K142" s="10" t="s">
        <v>65</v>
      </c>
      <c r="L142" s="10" t="s">
        <v>84</v>
      </c>
      <c r="M142" s="10" t="s">
        <v>85</v>
      </c>
      <c r="N142" s="10"/>
      <c r="O142" s="15"/>
      <c r="P142" s="15" t="s">
        <v>86</v>
      </c>
      <c r="Q142" s="10" t="s">
        <v>80</v>
      </c>
      <c r="R142" s="11"/>
      <c r="S142" s="10"/>
      <c r="T142" s="10" t="s">
        <v>324</v>
      </c>
      <c r="U142" s="45">
        <v>200</v>
      </c>
      <c r="V142" s="10" t="s">
        <v>213</v>
      </c>
    </row>
    <row r="143" spans="1:22" ht="31.5" customHeight="1" x14ac:dyDescent="1.1000000000000001">
      <c r="A143" s="48"/>
      <c r="B143" s="10" t="s">
        <v>81</v>
      </c>
      <c r="C143" s="10" t="s">
        <v>82</v>
      </c>
      <c r="D143" s="11">
        <v>46240</v>
      </c>
      <c r="E143" s="10" t="s">
        <v>83</v>
      </c>
      <c r="F143" s="10" t="s">
        <v>122</v>
      </c>
      <c r="G143" s="12"/>
      <c r="H143" s="13" t="str">
        <f>IF(G143="","",IFERROR(G143/Settings!$B$3,""))</f>
        <v/>
      </c>
      <c r="I143" s="10" t="s">
        <v>36</v>
      </c>
      <c r="J143" s="23" t="s">
        <v>72</v>
      </c>
      <c r="K143" s="10" t="s">
        <v>65</v>
      </c>
      <c r="L143" s="10" t="s">
        <v>84</v>
      </c>
      <c r="M143" s="10" t="s">
        <v>85</v>
      </c>
      <c r="N143" s="10"/>
      <c r="O143" s="15"/>
      <c r="P143" s="15" t="s">
        <v>86</v>
      </c>
      <c r="Q143" s="10" t="s">
        <v>80</v>
      </c>
      <c r="R143" s="11"/>
      <c r="S143" s="10"/>
      <c r="T143" s="10" t="s">
        <v>218</v>
      </c>
      <c r="U143" s="45">
        <v>30</v>
      </c>
      <c r="V143" s="10" t="s">
        <v>213</v>
      </c>
    </row>
    <row r="144" spans="1:22" ht="31.5" customHeight="1" x14ac:dyDescent="1.1000000000000001">
      <c r="A144" s="48"/>
      <c r="B144" s="10" t="s">
        <v>81</v>
      </c>
      <c r="C144" s="10" t="s">
        <v>82</v>
      </c>
      <c r="D144" s="11">
        <v>46241</v>
      </c>
      <c r="E144" s="10" t="s">
        <v>83</v>
      </c>
      <c r="F144" s="10" t="s">
        <v>122</v>
      </c>
      <c r="G144" s="12"/>
      <c r="H144" s="13" t="str">
        <f>IF(G144="","",IFERROR(G144/Settings!$B$3,""))</f>
        <v/>
      </c>
      <c r="I144" s="10" t="s">
        <v>36</v>
      </c>
      <c r="J144" s="23" t="s">
        <v>72</v>
      </c>
      <c r="K144" s="10" t="s">
        <v>65</v>
      </c>
      <c r="L144" s="10" t="s">
        <v>84</v>
      </c>
      <c r="M144" s="10" t="s">
        <v>85</v>
      </c>
      <c r="N144" s="10"/>
      <c r="O144" s="15"/>
      <c r="P144" s="15" t="s">
        <v>86</v>
      </c>
      <c r="Q144" s="10" t="s">
        <v>80</v>
      </c>
      <c r="R144" s="11"/>
      <c r="S144" s="10"/>
      <c r="T144" s="10" t="s">
        <v>325</v>
      </c>
      <c r="U144" s="45">
        <v>70</v>
      </c>
      <c r="V144" s="10" t="s">
        <v>213</v>
      </c>
    </row>
    <row r="145" spans="1:22" ht="31.5" customHeight="1" x14ac:dyDescent="1.1000000000000001">
      <c r="A145" s="48"/>
      <c r="B145" s="10" t="s">
        <v>81</v>
      </c>
      <c r="C145" s="10" t="s">
        <v>82</v>
      </c>
      <c r="D145" s="11">
        <v>46242</v>
      </c>
      <c r="E145" s="10" t="s">
        <v>83</v>
      </c>
      <c r="F145" s="10" t="s">
        <v>122</v>
      </c>
      <c r="G145" s="12"/>
      <c r="H145" s="13" t="str">
        <f>IF(G145="","",IFERROR(G145/Settings!$B$3,""))</f>
        <v/>
      </c>
      <c r="I145" s="10" t="s">
        <v>36</v>
      </c>
      <c r="J145" s="23" t="s">
        <v>72</v>
      </c>
      <c r="K145" s="10" t="s">
        <v>65</v>
      </c>
      <c r="L145" s="10" t="s">
        <v>84</v>
      </c>
      <c r="M145" s="10" t="s">
        <v>85</v>
      </c>
      <c r="N145" s="10"/>
      <c r="O145" s="15"/>
      <c r="P145" s="15" t="s">
        <v>86</v>
      </c>
      <c r="Q145" s="10" t="s">
        <v>80</v>
      </c>
      <c r="R145" s="11"/>
      <c r="S145" s="10"/>
      <c r="T145" s="10" t="s">
        <v>326</v>
      </c>
      <c r="U145" s="45">
        <v>100</v>
      </c>
      <c r="V145" s="10" t="s">
        <v>213</v>
      </c>
    </row>
    <row r="146" spans="1:22" ht="31.5" customHeight="1" x14ac:dyDescent="1.1000000000000001">
      <c r="A146" s="48"/>
      <c r="B146" s="10" t="s">
        <v>81</v>
      </c>
      <c r="C146" s="10" t="s">
        <v>82</v>
      </c>
      <c r="D146" s="11">
        <v>46243</v>
      </c>
      <c r="E146" s="10" t="s">
        <v>83</v>
      </c>
      <c r="F146" s="10" t="s">
        <v>122</v>
      </c>
      <c r="G146" s="12"/>
      <c r="H146" s="13" t="str">
        <f>IF(G146="","",IFERROR(G146/Settings!$B$3,""))</f>
        <v/>
      </c>
      <c r="I146" s="10" t="s">
        <v>36</v>
      </c>
      <c r="J146" s="23" t="s">
        <v>72</v>
      </c>
      <c r="K146" s="10" t="s">
        <v>65</v>
      </c>
      <c r="L146" s="10" t="s">
        <v>84</v>
      </c>
      <c r="M146" s="10" t="s">
        <v>85</v>
      </c>
      <c r="N146" s="10"/>
      <c r="O146" s="15"/>
      <c r="P146" s="15" t="s">
        <v>86</v>
      </c>
      <c r="Q146" s="10" t="s">
        <v>80</v>
      </c>
      <c r="R146" s="11"/>
      <c r="S146" s="10"/>
      <c r="T146" s="10" t="s">
        <v>236</v>
      </c>
      <c r="U146" s="45">
        <v>100</v>
      </c>
      <c r="V146" s="10" t="s">
        <v>213</v>
      </c>
    </row>
    <row r="147" spans="1:22" ht="31.5" customHeight="1" x14ac:dyDescent="1.1000000000000001">
      <c r="A147" s="48"/>
      <c r="B147" s="10" t="s">
        <v>81</v>
      </c>
      <c r="C147" s="10" t="s">
        <v>82</v>
      </c>
      <c r="D147" s="11">
        <v>46244</v>
      </c>
      <c r="E147" s="10" t="s">
        <v>83</v>
      </c>
      <c r="F147" s="10" t="s">
        <v>122</v>
      </c>
      <c r="G147" s="12"/>
      <c r="H147" s="13" t="str">
        <f>IF(G147="","",IFERROR(G147/Settings!$B$3,""))</f>
        <v/>
      </c>
      <c r="I147" s="10" t="s">
        <v>36</v>
      </c>
      <c r="J147" s="23" t="s">
        <v>72</v>
      </c>
      <c r="K147" s="10" t="s">
        <v>65</v>
      </c>
      <c r="L147" s="10" t="s">
        <v>84</v>
      </c>
      <c r="M147" s="10" t="s">
        <v>85</v>
      </c>
      <c r="N147" s="10"/>
      <c r="O147" s="15"/>
      <c r="P147" s="15" t="s">
        <v>86</v>
      </c>
      <c r="Q147" s="10" t="s">
        <v>80</v>
      </c>
      <c r="R147" s="11"/>
      <c r="S147" s="10"/>
      <c r="T147" s="10" t="s">
        <v>327</v>
      </c>
      <c r="U147" s="45">
        <v>820</v>
      </c>
      <c r="V147" s="10" t="s">
        <v>213</v>
      </c>
    </row>
    <row r="148" spans="1:22" ht="31.5" customHeight="1" x14ac:dyDescent="1.1000000000000001">
      <c r="A148" s="48"/>
      <c r="B148" s="10" t="s">
        <v>81</v>
      </c>
      <c r="C148" s="10" t="s">
        <v>82</v>
      </c>
      <c r="D148" s="11">
        <v>46245</v>
      </c>
      <c r="E148" s="10" t="s">
        <v>83</v>
      </c>
      <c r="F148" s="10" t="s">
        <v>122</v>
      </c>
      <c r="G148" s="12"/>
      <c r="H148" s="13" t="str">
        <f>IF(G148="","",IFERROR(G148/Settings!$B$3,""))</f>
        <v/>
      </c>
      <c r="I148" s="10" t="s">
        <v>36</v>
      </c>
      <c r="J148" s="23" t="s">
        <v>72</v>
      </c>
      <c r="K148" s="10" t="s">
        <v>65</v>
      </c>
      <c r="L148" s="10" t="s">
        <v>84</v>
      </c>
      <c r="M148" s="10" t="s">
        <v>85</v>
      </c>
      <c r="N148" s="10"/>
      <c r="O148" s="15"/>
      <c r="P148" s="15" t="s">
        <v>86</v>
      </c>
      <c r="Q148" s="10" t="s">
        <v>80</v>
      </c>
      <c r="R148" s="11"/>
      <c r="S148" s="10"/>
      <c r="T148" s="10" t="s">
        <v>212</v>
      </c>
      <c r="U148" s="45">
        <v>245</v>
      </c>
      <c r="V148" s="10" t="s">
        <v>213</v>
      </c>
    </row>
    <row r="149" spans="1:22" ht="31.5" customHeight="1" x14ac:dyDescent="1.1000000000000001">
      <c r="A149" s="48"/>
      <c r="B149" s="10" t="s">
        <v>81</v>
      </c>
      <c r="C149" s="10" t="s">
        <v>82</v>
      </c>
      <c r="D149" s="11">
        <v>46246</v>
      </c>
      <c r="E149" s="10" t="s">
        <v>83</v>
      </c>
      <c r="F149" s="10" t="s">
        <v>122</v>
      </c>
      <c r="G149" s="12"/>
      <c r="H149" s="13" t="str">
        <f>IF(G149="","",IFERROR(G149/Settings!$B$3,""))</f>
        <v/>
      </c>
      <c r="I149" s="10" t="s">
        <v>36</v>
      </c>
      <c r="J149" s="23" t="s">
        <v>72</v>
      </c>
      <c r="K149" s="10" t="s">
        <v>65</v>
      </c>
      <c r="L149" s="10" t="s">
        <v>84</v>
      </c>
      <c r="M149" s="10" t="s">
        <v>85</v>
      </c>
      <c r="N149" s="10"/>
      <c r="O149" s="15"/>
      <c r="P149" s="15" t="s">
        <v>86</v>
      </c>
      <c r="Q149" s="10" t="s">
        <v>80</v>
      </c>
      <c r="R149" s="11"/>
      <c r="S149" s="10"/>
      <c r="T149" s="10" t="s">
        <v>328</v>
      </c>
      <c r="U149" s="45">
        <v>55</v>
      </c>
      <c r="V149" s="10" t="s">
        <v>213</v>
      </c>
    </row>
    <row r="150" spans="1:22" ht="31.5" customHeight="1" x14ac:dyDescent="1.1000000000000001">
      <c r="A150" s="48"/>
      <c r="B150" s="10" t="s">
        <v>81</v>
      </c>
      <c r="C150" s="10" t="s">
        <v>82</v>
      </c>
      <c r="D150" s="11">
        <v>46247</v>
      </c>
      <c r="E150" s="10" t="s">
        <v>83</v>
      </c>
      <c r="F150" s="10" t="s">
        <v>122</v>
      </c>
      <c r="G150" s="12"/>
      <c r="H150" s="13" t="str">
        <f>IF(G150="","",IFERROR(G150/Settings!$B$3,""))</f>
        <v/>
      </c>
      <c r="I150" s="10" t="s">
        <v>36</v>
      </c>
      <c r="J150" s="23" t="s">
        <v>72</v>
      </c>
      <c r="K150" s="10" t="s">
        <v>65</v>
      </c>
      <c r="L150" s="10" t="s">
        <v>84</v>
      </c>
      <c r="M150" s="10" t="s">
        <v>85</v>
      </c>
      <c r="N150" s="10"/>
      <c r="O150" s="15"/>
      <c r="P150" s="15" t="s">
        <v>86</v>
      </c>
      <c r="Q150" s="10" t="s">
        <v>80</v>
      </c>
      <c r="R150" s="11"/>
      <c r="S150" s="10"/>
      <c r="T150" s="10" t="s">
        <v>329</v>
      </c>
      <c r="U150" s="45">
        <v>400</v>
      </c>
      <c r="V150" s="10" t="s">
        <v>213</v>
      </c>
    </row>
    <row r="151" spans="1:22" ht="31.5" customHeight="1" x14ac:dyDescent="1.1000000000000001">
      <c r="A151" s="48"/>
      <c r="B151" s="10" t="s">
        <v>81</v>
      </c>
      <c r="C151" s="10" t="s">
        <v>82</v>
      </c>
      <c r="D151" s="11">
        <v>46248</v>
      </c>
      <c r="E151" s="10" t="s">
        <v>83</v>
      </c>
      <c r="F151" s="10" t="s">
        <v>122</v>
      </c>
      <c r="G151" s="12"/>
      <c r="H151" s="13" t="str">
        <f>IF(G151="","",IFERROR(G151/Settings!$B$3,""))</f>
        <v/>
      </c>
      <c r="I151" s="10" t="s">
        <v>36</v>
      </c>
      <c r="J151" s="23" t="s">
        <v>72</v>
      </c>
      <c r="K151" s="10" t="s">
        <v>65</v>
      </c>
      <c r="L151" s="10" t="s">
        <v>84</v>
      </c>
      <c r="M151" s="10" t="s">
        <v>85</v>
      </c>
      <c r="N151" s="10"/>
      <c r="O151" s="15"/>
      <c r="P151" s="15" t="s">
        <v>86</v>
      </c>
      <c r="Q151" s="10" t="s">
        <v>80</v>
      </c>
      <c r="R151" s="11"/>
      <c r="S151" s="10"/>
      <c r="T151" s="10" t="s">
        <v>330</v>
      </c>
      <c r="U151" s="45">
        <v>20</v>
      </c>
      <c r="V151" s="10" t="s">
        <v>220</v>
      </c>
    </row>
    <row r="152" spans="1:22" ht="31.5" customHeight="1" x14ac:dyDescent="1.1000000000000001">
      <c r="A152" s="48"/>
      <c r="B152" s="10" t="s">
        <v>81</v>
      </c>
      <c r="C152" s="10" t="s">
        <v>82</v>
      </c>
      <c r="D152" s="11">
        <v>46249</v>
      </c>
      <c r="E152" s="10" t="s">
        <v>83</v>
      </c>
      <c r="F152" s="10" t="s">
        <v>122</v>
      </c>
      <c r="G152" s="12"/>
      <c r="H152" s="13" t="str">
        <f>IF(G152="","",IFERROR(G152/Settings!$B$3,""))</f>
        <v/>
      </c>
      <c r="I152" s="10" t="s">
        <v>36</v>
      </c>
      <c r="J152" s="23" t="s">
        <v>72</v>
      </c>
      <c r="K152" s="10" t="s">
        <v>65</v>
      </c>
      <c r="L152" s="10" t="s">
        <v>84</v>
      </c>
      <c r="M152" s="10" t="s">
        <v>85</v>
      </c>
      <c r="N152" s="10"/>
      <c r="O152" s="15"/>
      <c r="P152" s="15" t="s">
        <v>86</v>
      </c>
      <c r="Q152" s="10" t="s">
        <v>80</v>
      </c>
      <c r="R152" s="11"/>
      <c r="S152" s="10"/>
      <c r="T152" s="10" t="s">
        <v>291</v>
      </c>
      <c r="U152" s="45">
        <v>100</v>
      </c>
      <c r="V152" s="10" t="s">
        <v>213</v>
      </c>
    </row>
    <row r="153" spans="1:22" ht="31.5" customHeight="1" x14ac:dyDescent="1.1000000000000001">
      <c r="A153" s="48"/>
      <c r="B153" s="10" t="s">
        <v>81</v>
      </c>
      <c r="C153" s="10" t="s">
        <v>82</v>
      </c>
      <c r="D153" s="11">
        <v>46250</v>
      </c>
      <c r="E153" s="10" t="s">
        <v>83</v>
      </c>
      <c r="F153" s="10" t="s">
        <v>122</v>
      </c>
      <c r="G153" s="12"/>
      <c r="H153" s="13" t="str">
        <f>IF(G153="","",IFERROR(G153/Settings!$B$3,""))</f>
        <v/>
      </c>
      <c r="I153" s="10" t="s">
        <v>36</v>
      </c>
      <c r="J153" s="23" t="s">
        <v>72</v>
      </c>
      <c r="K153" s="10" t="s">
        <v>65</v>
      </c>
      <c r="L153" s="10" t="s">
        <v>84</v>
      </c>
      <c r="M153" s="10" t="s">
        <v>85</v>
      </c>
      <c r="N153" s="10"/>
      <c r="O153" s="15"/>
      <c r="P153" s="15" t="s">
        <v>86</v>
      </c>
      <c r="Q153" s="10" t="s">
        <v>80</v>
      </c>
      <c r="R153" s="11"/>
      <c r="S153" s="10"/>
      <c r="T153" s="10" t="s">
        <v>331</v>
      </c>
      <c r="U153" s="45">
        <v>20</v>
      </c>
      <c r="V153" s="10" t="s">
        <v>220</v>
      </c>
    </row>
    <row r="154" spans="1:22" ht="31.5" customHeight="1" x14ac:dyDescent="1.1000000000000001">
      <c r="A154" s="48"/>
      <c r="B154" s="10" t="s">
        <v>81</v>
      </c>
      <c r="C154" s="10" t="s">
        <v>82</v>
      </c>
      <c r="D154" s="11">
        <v>46251</v>
      </c>
      <c r="E154" s="10" t="s">
        <v>83</v>
      </c>
      <c r="F154" s="10" t="s">
        <v>122</v>
      </c>
      <c r="G154" s="12"/>
      <c r="H154" s="13" t="str">
        <f>IF(G154="","",IFERROR(G154/Settings!$B$3,""))</f>
        <v/>
      </c>
      <c r="I154" s="10" t="s">
        <v>36</v>
      </c>
      <c r="J154" s="23" t="s">
        <v>72</v>
      </c>
      <c r="K154" s="10" t="s">
        <v>65</v>
      </c>
      <c r="L154" s="10" t="s">
        <v>84</v>
      </c>
      <c r="M154" s="10" t="s">
        <v>85</v>
      </c>
      <c r="N154" s="10"/>
      <c r="O154" s="15"/>
      <c r="P154" s="15" t="s">
        <v>86</v>
      </c>
      <c r="Q154" s="10" t="s">
        <v>80</v>
      </c>
      <c r="R154" s="11"/>
      <c r="S154" s="10"/>
      <c r="T154" s="10" t="s">
        <v>332</v>
      </c>
      <c r="U154" s="45">
        <v>20</v>
      </c>
      <c r="V154" s="10" t="s">
        <v>220</v>
      </c>
    </row>
    <row r="155" spans="1:22" ht="31.5" customHeight="1" x14ac:dyDescent="1.1000000000000001">
      <c r="A155" s="48"/>
      <c r="B155" s="10" t="s">
        <v>81</v>
      </c>
      <c r="C155" s="10" t="s">
        <v>82</v>
      </c>
      <c r="D155" s="11">
        <v>46252</v>
      </c>
      <c r="E155" s="10" t="s">
        <v>83</v>
      </c>
      <c r="F155" s="10" t="s">
        <v>122</v>
      </c>
      <c r="G155" s="12"/>
      <c r="H155" s="13" t="str">
        <f>IF(G155="","",IFERROR(G155/Settings!$B$3,""))</f>
        <v/>
      </c>
      <c r="I155" s="10" t="s">
        <v>36</v>
      </c>
      <c r="J155" s="23" t="s">
        <v>72</v>
      </c>
      <c r="K155" s="10" t="s">
        <v>65</v>
      </c>
      <c r="L155" s="10" t="s">
        <v>84</v>
      </c>
      <c r="M155" s="10" t="s">
        <v>85</v>
      </c>
      <c r="N155" s="10"/>
      <c r="O155" s="15"/>
      <c r="P155" s="15" t="s">
        <v>86</v>
      </c>
      <c r="Q155" s="10" t="s">
        <v>80</v>
      </c>
      <c r="R155" s="11"/>
      <c r="S155" s="10"/>
      <c r="T155" s="10" t="s">
        <v>333</v>
      </c>
      <c r="U155" s="45">
        <v>5</v>
      </c>
      <c r="V155" s="10" t="s">
        <v>220</v>
      </c>
    </row>
    <row r="156" spans="1:22" ht="31.5" customHeight="1" x14ac:dyDescent="1.1000000000000001">
      <c r="A156" s="48"/>
      <c r="B156" s="10" t="s">
        <v>81</v>
      </c>
      <c r="C156" s="10" t="s">
        <v>82</v>
      </c>
      <c r="D156" s="11">
        <v>46253</v>
      </c>
      <c r="E156" s="10" t="s">
        <v>83</v>
      </c>
      <c r="F156" s="10" t="s">
        <v>122</v>
      </c>
      <c r="G156" s="12"/>
      <c r="H156" s="13" t="str">
        <f>IF(G156="","",IFERROR(G156/Settings!$B$3,""))</f>
        <v/>
      </c>
      <c r="I156" s="10" t="s">
        <v>36</v>
      </c>
      <c r="J156" s="23" t="s">
        <v>72</v>
      </c>
      <c r="K156" s="10" t="s">
        <v>65</v>
      </c>
      <c r="L156" s="10" t="s">
        <v>84</v>
      </c>
      <c r="M156" s="10" t="s">
        <v>85</v>
      </c>
      <c r="N156" s="10"/>
      <c r="O156" s="15"/>
      <c r="P156" s="15" t="s">
        <v>86</v>
      </c>
      <c r="Q156" s="10" t="s">
        <v>80</v>
      </c>
      <c r="R156" s="11"/>
      <c r="S156" s="10"/>
      <c r="T156" s="10" t="s">
        <v>334</v>
      </c>
      <c r="U156" s="45">
        <v>5</v>
      </c>
      <c r="V156" s="10" t="s">
        <v>220</v>
      </c>
    </row>
    <row r="157" spans="1:22" ht="31.5" customHeight="1" x14ac:dyDescent="1.1000000000000001">
      <c r="A157" s="48"/>
      <c r="B157" s="10" t="s">
        <v>81</v>
      </c>
      <c r="C157" s="10" t="s">
        <v>82</v>
      </c>
      <c r="D157" s="11">
        <v>46254</v>
      </c>
      <c r="E157" s="10" t="s">
        <v>83</v>
      </c>
      <c r="F157" s="10" t="s">
        <v>122</v>
      </c>
      <c r="G157" s="12"/>
      <c r="H157" s="13" t="str">
        <f>IF(G157="","",IFERROR(G157/Settings!$B$3,""))</f>
        <v/>
      </c>
      <c r="I157" s="10" t="s">
        <v>36</v>
      </c>
      <c r="J157" s="23" t="s">
        <v>72</v>
      </c>
      <c r="K157" s="10" t="s">
        <v>65</v>
      </c>
      <c r="L157" s="10" t="s">
        <v>84</v>
      </c>
      <c r="M157" s="10" t="s">
        <v>85</v>
      </c>
      <c r="N157" s="10"/>
      <c r="O157" s="15"/>
      <c r="P157" s="15" t="s">
        <v>86</v>
      </c>
      <c r="Q157" s="10" t="s">
        <v>80</v>
      </c>
      <c r="R157" s="11"/>
      <c r="S157" s="10"/>
      <c r="T157" s="10" t="s">
        <v>335</v>
      </c>
      <c r="U157" s="45">
        <v>10</v>
      </c>
      <c r="V157" s="10" t="s">
        <v>220</v>
      </c>
    </row>
    <row r="158" spans="1:22" ht="31.5" customHeight="1" x14ac:dyDescent="1.1000000000000001">
      <c r="A158" s="48"/>
      <c r="B158" s="10" t="s">
        <v>81</v>
      </c>
      <c r="C158" s="10" t="s">
        <v>82</v>
      </c>
      <c r="D158" s="11">
        <v>46255</v>
      </c>
      <c r="E158" s="10" t="s">
        <v>83</v>
      </c>
      <c r="F158" s="10" t="s">
        <v>122</v>
      </c>
      <c r="G158" s="12"/>
      <c r="H158" s="13" t="str">
        <f>IF(G158="","",IFERROR(G158/Settings!$B$3,""))</f>
        <v/>
      </c>
      <c r="I158" s="10" t="s">
        <v>36</v>
      </c>
      <c r="J158" s="23" t="s">
        <v>72</v>
      </c>
      <c r="K158" s="10" t="s">
        <v>65</v>
      </c>
      <c r="L158" s="10" t="s">
        <v>84</v>
      </c>
      <c r="M158" s="10" t="s">
        <v>85</v>
      </c>
      <c r="N158" s="10"/>
      <c r="O158" s="15"/>
      <c r="P158" s="15" t="s">
        <v>86</v>
      </c>
      <c r="Q158" s="10" t="s">
        <v>80</v>
      </c>
      <c r="R158" s="11"/>
      <c r="S158" s="10"/>
      <c r="T158" s="10" t="s">
        <v>336</v>
      </c>
      <c r="U158" s="45">
        <v>10</v>
      </c>
      <c r="V158" s="10" t="s">
        <v>220</v>
      </c>
    </row>
    <row r="159" spans="1:22" ht="31.5" customHeight="1" x14ac:dyDescent="1.1000000000000001">
      <c r="A159" s="48"/>
      <c r="B159" s="10" t="s">
        <v>81</v>
      </c>
      <c r="C159" s="10" t="s">
        <v>82</v>
      </c>
      <c r="D159" s="11">
        <v>46256</v>
      </c>
      <c r="E159" s="10" t="s">
        <v>83</v>
      </c>
      <c r="F159" s="10" t="s">
        <v>122</v>
      </c>
      <c r="G159" s="12"/>
      <c r="H159" s="13" t="str">
        <f>IF(G159="","",IFERROR(G159/Settings!$B$3,""))</f>
        <v/>
      </c>
      <c r="I159" s="10" t="s">
        <v>36</v>
      </c>
      <c r="J159" s="23" t="s">
        <v>72</v>
      </c>
      <c r="K159" s="10" t="s">
        <v>65</v>
      </c>
      <c r="L159" s="10" t="s">
        <v>84</v>
      </c>
      <c r="M159" s="10" t="s">
        <v>85</v>
      </c>
      <c r="N159" s="10"/>
      <c r="O159" s="15"/>
      <c r="P159" s="15" t="s">
        <v>86</v>
      </c>
      <c r="Q159" s="10" t="s">
        <v>80</v>
      </c>
      <c r="R159" s="11"/>
      <c r="S159" s="10"/>
      <c r="T159" s="10" t="s">
        <v>337</v>
      </c>
      <c r="U159" s="45">
        <v>50</v>
      </c>
      <c r="V159" s="10" t="s">
        <v>220</v>
      </c>
    </row>
    <row r="160" spans="1:22" ht="31.5" customHeight="1" x14ac:dyDescent="1.1000000000000001">
      <c r="A160" s="48"/>
      <c r="B160" s="10" t="s">
        <v>81</v>
      </c>
      <c r="C160" s="10" t="s">
        <v>82</v>
      </c>
      <c r="D160" s="11">
        <v>46257</v>
      </c>
      <c r="E160" s="10" t="s">
        <v>83</v>
      </c>
      <c r="F160" s="10" t="s">
        <v>122</v>
      </c>
      <c r="G160" s="12"/>
      <c r="H160" s="13" t="str">
        <f>IF(G160="","",IFERROR(G160/Settings!$B$3,""))</f>
        <v/>
      </c>
      <c r="I160" s="10" t="s">
        <v>36</v>
      </c>
      <c r="J160" s="23" t="s">
        <v>72</v>
      </c>
      <c r="K160" s="10" t="s">
        <v>65</v>
      </c>
      <c r="L160" s="10" t="s">
        <v>84</v>
      </c>
      <c r="M160" s="10" t="s">
        <v>85</v>
      </c>
      <c r="N160" s="10"/>
      <c r="O160" s="15"/>
      <c r="P160" s="15" t="s">
        <v>86</v>
      </c>
      <c r="Q160" s="10" t="s">
        <v>80</v>
      </c>
      <c r="R160" s="11"/>
      <c r="S160" s="10"/>
      <c r="T160" s="10" t="s">
        <v>338</v>
      </c>
      <c r="U160" s="45">
        <v>10</v>
      </c>
      <c r="V160" s="10" t="s">
        <v>220</v>
      </c>
    </row>
    <row r="161" spans="1:22" ht="31.5" customHeight="1" x14ac:dyDescent="1.1000000000000001">
      <c r="A161" s="48"/>
      <c r="B161" s="10" t="s">
        <v>81</v>
      </c>
      <c r="C161" s="10" t="s">
        <v>82</v>
      </c>
      <c r="D161" s="11">
        <v>46258</v>
      </c>
      <c r="E161" s="10" t="s">
        <v>83</v>
      </c>
      <c r="F161" s="10" t="s">
        <v>122</v>
      </c>
      <c r="G161" s="12"/>
      <c r="H161" s="13" t="str">
        <f>IF(G161="","",IFERROR(G161/Settings!$B$3,""))</f>
        <v/>
      </c>
      <c r="I161" s="10" t="s">
        <v>36</v>
      </c>
      <c r="J161" s="23" t="s">
        <v>72</v>
      </c>
      <c r="K161" s="10" t="s">
        <v>65</v>
      </c>
      <c r="L161" s="10" t="s">
        <v>84</v>
      </c>
      <c r="M161" s="10" t="s">
        <v>85</v>
      </c>
      <c r="N161" s="10"/>
      <c r="O161" s="15"/>
      <c r="P161" s="15" t="s">
        <v>86</v>
      </c>
      <c r="Q161" s="10" t="s">
        <v>80</v>
      </c>
      <c r="R161" s="11"/>
      <c r="S161" s="10"/>
      <c r="T161" s="10" t="s">
        <v>339</v>
      </c>
      <c r="U161" s="45">
        <v>10</v>
      </c>
      <c r="V161" s="10" t="s">
        <v>220</v>
      </c>
    </row>
    <row r="162" spans="1:22" ht="31.5" customHeight="1" x14ac:dyDescent="1.1000000000000001">
      <c r="A162" s="48"/>
      <c r="B162" s="10" t="s">
        <v>81</v>
      </c>
      <c r="C162" s="10" t="s">
        <v>82</v>
      </c>
      <c r="D162" s="11">
        <v>46259</v>
      </c>
      <c r="E162" s="10" t="s">
        <v>83</v>
      </c>
      <c r="F162" s="10" t="s">
        <v>122</v>
      </c>
      <c r="G162" s="12"/>
      <c r="H162" s="13" t="str">
        <f>IF(G162="","",IFERROR(G162/Settings!$B$3,""))</f>
        <v/>
      </c>
      <c r="I162" s="10" t="s">
        <v>36</v>
      </c>
      <c r="J162" s="23" t="s">
        <v>72</v>
      </c>
      <c r="K162" s="10" t="s">
        <v>65</v>
      </c>
      <c r="L162" s="10" t="s">
        <v>84</v>
      </c>
      <c r="M162" s="10" t="s">
        <v>85</v>
      </c>
      <c r="N162" s="10"/>
      <c r="O162" s="15"/>
      <c r="P162" s="15" t="s">
        <v>86</v>
      </c>
      <c r="Q162" s="10" t="s">
        <v>80</v>
      </c>
      <c r="R162" s="11"/>
      <c r="S162" s="10"/>
      <c r="T162" s="10" t="s">
        <v>340</v>
      </c>
      <c r="U162" s="45">
        <v>10</v>
      </c>
      <c r="V162" s="10" t="s">
        <v>220</v>
      </c>
    </row>
    <row r="163" spans="1:22" ht="31.5" customHeight="1" x14ac:dyDescent="1.1000000000000001">
      <c r="A163" s="48"/>
      <c r="B163" s="10" t="s">
        <v>81</v>
      </c>
      <c r="C163" s="10" t="s">
        <v>82</v>
      </c>
      <c r="D163" s="11">
        <v>46260</v>
      </c>
      <c r="E163" s="10" t="s">
        <v>83</v>
      </c>
      <c r="F163" s="10" t="s">
        <v>122</v>
      </c>
      <c r="G163" s="12"/>
      <c r="H163" s="13" t="str">
        <f>IF(G163="","",IFERROR(G163/Settings!$B$3,""))</f>
        <v/>
      </c>
      <c r="I163" s="10" t="s">
        <v>36</v>
      </c>
      <c r="J163" s="23" t="s">
        <v>72</v>
      </c>
      <c r="K163" s="10" t="s">
        <v>65</v>
      </c>
      <c r="L163" s="10" t="s">
        <v>84</v>
      </c>
      <c r="M163" s="10" t="s">
        <v>85</v>
      </c>
      <c r="N163" s="10"/>
      <c r="O163" s="15"/>
      <c r="P163" s="15" t="s">
        <v>86</v>
      </c>
      <c r="Q163" s="10" t="s">
        <v>80</v>
      </c>
      <c r="R163" s="11"/>
      <c r="S163" s="10"/>
      <c r="T163" s="10" t="s">
        <v>341</v>
      </c>
      <c r="U163" s="45">
        <v>10</v>
      </c>
      <c r="V163" s="10" t="s">
        <v>220</v>
      </c>
    </row>
    <row r="164" spans="1:22" ht="31.5" customHeight="1" x14ac:dyDescent="1.1000000000000001">
      <c r="A164" s="48"/>
      <c r="B164" s="10" t="s">
        <v>81</v>
      </c>
      <c r="C164" s="10" t="s">
        <v>82</v>
      </c>
      <c r="D164" s="11">
        <v>46261</v>
      </c>
      <c r="E164" s="10" t="s">
        <v>83</v>
      </c>
      <c r="F164" s="10" t="s">
        <v>122</v>
      </c>
      <c r="G164" s="12"/>
      <c r="H164" s="13" t="str">
        <f>IF(G164="","",IFERROR(G164/Settings!$B$3,""))</f>
        <v/>
      </c>
      <c r="I164" s="10" t="s">
        <v>36</v>
      </c>
      <c r="J164" s="23" t="s">
        <v>72</v>
      </c>
      <c r="K164" s="10" t="s">
        <v>65</v>
      </c>
      <c r="L164" s="10" t="s">
        <v>84</v>
      </c>
      <c r="M164" s="10" t="s">
        <v>85</v>
      </c>
      <c r="N164" s="10"/>
      <c r="O164" s="15"/>
      <c r="P164" s="15" t="s">
        <v>86</v>
      </c>
      <c r="Q164" s="10" t="s">
        <v>80</v>
      </c>
      <c r="R164" s="11"/>
      <c r="S164" s="10"/>
      <c r="T164" s="10" t="s">
        <v>342</v>
      </c>
      <c r="U164" s="45">
        <v>5</v>
      </c>
      <c r="V164" s="10" t="s">
        <v>220</v>
      </c>
    </row>
    <row r="165" spans="1:22" ht="31.5" customHeight="1" x14ac:dyDescent="1.1000000000000001">
      <c r="A165" s="48"/>
      <c r="B165" s="10" t="s">
        <v>81</v>
      </c>
      <c r="C165" s="10" t="s">
        <v>82</v>
      </c>
      <c r="D165" s="11">
        <v>46262</v>
      </c>
      <c r="E165" s="10" t="s">
        <v>83</v>
      </c>
      <c r="F165" s="10" t="s">
        <v>122</v>
      </c>
      <c r="G165" s="12"/>
      <c r="H165" s="13" t="str">
        <f>IF(G165="","",IFERROR(G165/Settings!$B$3,""))</f>
        <v/>
      </c>
      <c r="I165" s="10" t="s">
        <v>36</v>
      </c>
      <c r="J165" s="23" t="s">
        <v>72</v>
      </c>
      <c r="K165" s="10" t="s">
        <v>65</v>
      </c>
      <c r="L165" s="10" t="s">
        <v>84</v>
      </c>
      <c r="M165" s="10" t="s">
        <v>85</v>
      </c>
      <c r="N165" s="10"/>
      <c r="O165" s="15"/>
      <c r="P165" s="15" t="s">
        <v>86</v>
      </c>
      <c r="Q165" s="10" t="s">
        <v>80</v>
      </c>
      <c r="R165" s="11"/>
      <c r="S165" s="10"/>
      <c r="T165" s="10" t="s">
        <v>343</v>
      </c>
      <c r="U165" s="45">
        <v>5</v>
      </c>
      <c r="V165" s="10" t="s">
        <v>220</v>
      </c>
    </row>
    <row r="166" spans="1:22" ht="31.5" customHeight="1" x14ac:dyDescent="1.1000000000000001">
      <c r="A166" s="48"/>
      <c r="B166" s="10" t="s">
        <v>81</v>
      </c>
      <c r="C166" s="10" t="s">
        <v>82</v>
      </c>
      <c r="D166" s="11">
        <v>46263</v>
      </c>
      <c r="E166" s="10" t="s">
        <v>83</v>
      </c>
      <c r="F166" s="10" t="s">
        <v>122</v>
      </c>
      <c r="G166" s="12"/>
      <c r="H166" s="13" t="str">
        <f>IF(G166="","",IFERROR(G166/Settings!$B$3,""))</f>
        <v/>
      </c>
      <c r="I166" s="10" t="s">
        <v>36</v>
      </c>
      <c r="J166" s="23" t="s">
        <v>72</v>
      </c>
      <c r="K166" s="10" t="s">
        <v>65</v>
      </c>
      <c r="L166" s="10" t="s">
        <v>84</v>
      </c>
      <c r="M166" s="10" t="s">
        <v>85</v>
      </c>
      <c r="N166" s="10"/>
      <c r="O166" s="15"/>
      <c r="P166" s="15" t="s">
        <v>86</v>
      </c>
      <c r="Q166" s="10" t="s">
        <v>80</v>
      </c>
      <c r="R166" s="11"/>
      <c r="S166" s="10"/>
      <c r="T166" s="10" t="s">
        <v>344</v>
      </c>
      <c r="U166" s="45">
        <v>60</v>
      </c>
      <c r="V166" s="10" t="s">
        <v>220</v>
      </c>
    </row>
    <row r="167" spans="1:22" ht="31.5" customHeight="1" x14ac:dyDescent="1.1000000000000001">
      <c r="A167" s="48"/>
      <c r="B167" s="10" t="s">
        <v>81</v>
      </c>
      <c r="C167" s="10" t="s">
        <v>82</v>
      </c>
      <c r="D167" s="11">
        <v>46264</v>
      </c>
      <c r="E167" s="10" t="s">
        <v>83</v>
      </c>
      <c r="F167" s="10" t="s">
        <v>122</v>
      </c>
      <c r="G167" s="12"/>
      <c r="H167" s="13" t="str">
        <f>IF(G167="","",IFERROR(G167/Settings!$B$3,""))</f>
        <v/>
      </c>
      <c r="I167" s="10" t="s">
        <v>36</v>
      </c>
      <c r="J167" s="23" t="s">
        <v>72</v>
      </c>
      <c r="K167" s="10" t="s">
        <v>65</v>
      </c>
      <c r="L167" s="10" t="s">
        <v>84</v>
      </c>
      <c r="M167" s="10" t="s">
        <v>85</v>
      </c>
      <c r="N167" s="10"/>
      <c r="O167" s="15"/>
      <c r="P167" s="15" t="s">
        <v>86</v>
      </c>
      <c r="Q167" s="10" t="s">
        <v>80</v>
      </c>
      <c r="R167" s="11"/>
      <c r="S167" s="10"/>
      <c r="T167" s="10" t="s">
        <v>344</v>
      </c>
      <c r="U167" s="45">
        <v>60</v>
      </c>
      <c r="V167" s="10" t="s">
        <v>220</v>
      </c>
    </row>
    <row r="168" spans="1:22" ht="31.5" customHeight="1" x14ac:dyDescent="1.1000000000000001">
      <c r="A168" s="48"/>
      <c r="B168" s="10" t="s">
        <v>81</v>
      </c>
      <c r="C168" s="10" t="s">
        <v>82</v>
      </c>
      <c r="D168" s="11">
        <v>46265</v>
      </c>
      <c r="E168" s="10" t="s">
        <v>83</v>
      </c>
      <c r="F168" s="10" t="s">
        <v>122</v>
      </c>
      <c r="G168" s="12"/>
      <c r="H168" s="13" t="str">
        <f>IF(G168="","",IFERROR(G168/Settings!$B$3,""))</f>
        <v/>
      </c>
      <c r="I168" s="10" t="s">
        <v>36</v>
      </c>
      <c r="J168" s="23" t="s">
        <v>72</v>
      </c>
      <c r="K168" s="10" t="s">
        <v>65</v>
      </c>
      <c r="L168" s="10" t="s">
        <v>84</v>
      </c>
      <c r="M168" s="10" t="s">
        <v>85</v>
      </c>
      <c r="N168" s="10"/>
      <c r="O168" s="15"/>
      <c r="P168" s="15" t="s">
        <v>86</v>
      </c>
      <c r="Q168" s="10" t="s">
        <v>80</v>
      </c>
      <c r="R168" s="11"/>
      <c r="S168" s="10"/>
      <c r="T168" s="10" t="s">
        <v>345</v>
      </c>
      <c r="U168" s="45">
        <v>30</v>
      </c>
      <c r="V168" s="10" t="s">
        <v>220</v>
      </c>
    </row>
    <row r="169" spans="1:22" ht="31.5" customHeight="1" x14ac:dyDescent="1.1000000000000001">
      <c r="A169" s="48"/>
      <c r="B169" s="10" t="s">
        <v>81</v>
      </c>
      <c r="C169" s="10" t="s">
        <v>82</v>
      </c>
      <c r="D169" s="11">
        <v>46266</v>
      </c>
      <c r="E169" s="10" t="s">
        <v>83</v>
      </c>
      <c r="F169" s="10" t="s">
        <v>122</v>
      </c>
      <c r="G169" s="12"/>
      <c r="H169" s="13" t="str">
        <f>IF(G169="","",IFERROR(G169/Settings!$B$3,""))</f>
        <v/>
      </c>
      <c r="I169" s="10" t="s">
        <v>36</v>
      </c>
      <c r="J169" s="23" t="s">
        <v>72</v>
      </c>
      <c r="K169" s="10" t="s">
        <v>65</v>
      </c>
      <c r="L169" s="10" t="s">
        <v>84</v>
      </c>
      <c r="M169" s="10" t="s">
        <v>85</v>
      </c>
      <c r="N169" s="10"/>
      <c r="O169" s="15"/>
      <c r="P169" s="15" t="s">
        <v>86</v>
      </c>
      <c r="Q169" s="10" t="s">
        <v>80</v>
      </c>
      <c r="R169" s="11"/>
      <c r="S169" s="10"/>
      <c r="T169" s="10" t="s">
        <v>345</v>
      </c>
      <c r="U169" s="45">
        <v>30</v>
      </c>
      <c r="V169" s="10" t="s">
        <v>220</v>
      </c>
    </row>
    <row r="170" spans="1:22" ht="31.5" customHeight="1" x14ac:dyDescent="1.1000000000000001">
      <c r="A170" s="48"/>
      <c r="B170" s="10" t="s">
        <v>81</v>
      </c>
      <c r="C170" s="10" t="s">
        <v>82</v>
      </c>
      <c r="D170" s="11">
        <v>46267</v>
      </c>
      <c r="E170" s="10" t="s">
        <v>83</v>
      </c>
      <c r="F170" s="10" t="s">
        <v>122</v>
      </c>
      <c r="G170" s="12"/>
      <c r="H170" s="13" t="str">
        <f>IF(G170="","",IFERROR(G170/Settings!$B$3,""))</f>
        <v/>
      </c>
      <c r="I170" s="10" t="s">
        <v>36</v>
      </c>
      <c r="J170" s="23" t="s">
        <v>72</v>
      </c>
      <c r="K170" s="10" t="s">
        <v>65</v>
      </c>
      <c r="L170" s="10" t="s">
        <v>84</v>
      </c>
      <c r="M170" s="10" t="s">
        <v>85</v>
      </c>
      <c r="N170" s="10"/>
      <c r="O170" s="15"/>
      <c r="P170" s="15" t="s">
        <v>86</v>
      </c>
      <c r="Q170" s="10" t="s">
        <v>80</v>
      </c>
      <c r="R170" s="11"/>
      <c r="S170" s="10"/>
      <c r="T170" s="10" t="s">
        <v>346</v>
      </c>
      <c r="U170" s="45">
        <v>40</v>
      </c>
      <c r="V170" s="10" t="s">
        <v>213</v>
      </c>
    </row>
    <row r="171" spans="1:22" ht="31.5" customHeight="1" x14ac:dyDescent="1.1000000000000001">
      <c r="A171" s="48"/>
      <c r="B171" s="10" t="s">
        <v>81</v>
      </c>
      <c r="C171" s="10" t="s">
        <v>82</v>
      </c>
      <c r="D171" s="11">
        <v>46268</v>
      </c>
      <c r="E171" s="10" t="s">
        <v>83</v>
      </c>
      <c r="F171" s="10" t="s">
        <v>122</v>
      </c>
      <c r="G171" s="12"/>
      <c r="H171" s="13" t="str">
        <f>IF(G171="","",IFERROR(G171/Settings!$B$3,""))</f>
        <v/>
      </c>
      <c r="I171" s="10" t="s">
        <v>36</v>
      </c>
      <c r="J171" s="23" t="s">
        <v>72</v>
      </c>
      <c r="K171" s="10" t="s">
        <v>65</v>
      </c>
      <c r="L171" s="10" t="s">
        <v>84</v>
      </c>
      <c r="M171" s="10" t="s">
        <v>85</v>
      </c>
      <c r="N171" s="10"/>
      <c r="O171" s="15"/>
      <c r="P171" s="15" t="s">
        <v>86</v>
      </c>
      <c r="Q171" s="10" t="s">
        <v>80</v>
      </c>
      <c r="R171" s="11"/>
      <c r="S171" s="10"/>
      <c r="T171" s="10" t="s">
        <v>347</v>
      </c>
      <c r="U171" s="45">
        <v>60</v>
      </c>
      <c r="V171" s="10" t="s">
        <v>274</v>
      </c>
    </row>
    <row r="172" spans="1:22" ht="31.5" customHeight="1" x14ac:dyDescent="1.1000000000000001">
      <c r="A172" s="48"/>
      <c r="B172" s="10" t="s">
        <v>81</v>
      </c>
      <c r="C172" s="10" t="s">
        <v>82</v>
      </c>
      <c r="D172" s="11">
        <v>46269</v>
      </c>
      <c r="E172" s="10" t="s">
        <v>83</v>
      </c>
      <c r="F172" s="10" t="s">
        <v>122</v>
      </c>
      <c r="G172" s="12"/>
      <c r="H172" s="13" t="str">
        <f>IF(G172="","",IFERROR(G172/Settings!$B$3,""))</f>
        <v/>
      </c>
      <c r="I172" s="10" t="s">
        <v>36</v>
      </c>
      <c r="J172" s="23" t="s">
        <v>72</v>
      </c>
      <c r="K172" s="10" t="s">
        <v>65</v>
      </c>
      <c r="L172" s="10" t="s">
        <v>84</v>
      </c>
      <c r="M172" s="10" t="s">
        <v>85</v>
      </c>
      <c r="N172" s="10"/>
      <c r="O172" s="15"/>
      <c r="P172" s="15" t="s">
        <v>86</v>
      </c>
      <c r="Q172" s="10" t="s">
        <v>80</v>
      </c>
      <c r="R172" s="11"/>
      <c r="S172" s="10"/>
      <c r="T172" s="10" t="s">
        <v>348</v>
      </c>
      <c r="U172" s="45">
        <v>40</v>
      </c>
      <c r="V172" s="10" t="s">
        <v>274</v>
      </c>
    </row>
    <row r="173" spans="1:22" ht="31.5" customHeight="1" x14ac:dyDescent="1.1000000000000001">
      <c r="A173" s="48"/>
      <c r="B173" s="10" t="s">
        <v>81</v>
      </c>
      <c r="C173" s="10" t="s">
        <v>82</v>
      </c>
      <c r="D173" s="11">
        <v>46270</v>
      </c>
      <c r="E173" s="10" t="s">
        <v>83</v>
      </c>
      <c r="F173" s="10" t="s">
        <v>122</v>
      </c>
      <c r="G173" s="12"/>
      <c r="H173" s="13" t="str">
        <f>IF(G173="","",IFERROR(G173/Settings!$B$3,""))</f>
        <v/>
      </c>
      <c r="I173" s="10" t="s">
        <v>36</v>
      </c>
      <c r="J173" s="23" t="s">
        <v>72</v>
      </c>
      <c r="K173" s="10" t="s">
        <v>65</v>
      </c>
      <c r="L173" s="10" t="s">
        <v>84</v>
      </c>
      <c r="M173" s="10" t="s">
        <v>85</v>
      </c>
      <c r="N173" s="10"/>
      <c r="O173" s="15"/>
      <c r="P173" s="15" t="s">
        <v>86</v>
      </c>
      <c r="Q173" s="10" t="s">
        <v>80</v>
      </c>
      <c r="R173" s="11"/>
      <c r="S173" s="10"/>
      <c r="T173" s="10" t="s">
        <v>349</v>
      </c>
      <c r="U173" s="45">
        <v>40</v>
      </c>
      <c r="V173" s="10" t="s">
        <v>274</v>
      </c>
    </row>
    <row r="174" spans="1:22" ht="31.5" customHeight="1" x14ac:dyDescent="1.1000000000000001">
      <c r="A174" s="48"/>
      <c r="B174" s="10" t="s">
        <v>81</v>
      </c>
      <c r="C174" s="10" t="s">
        <v>82</v>
      </c>
      <c r="D174" s="11">
        <v>46271</v>
      </c>
      <c r="E174" s="10" t="s">
        <v>83</v>
      </c>
      <c r="F174" s="10" t="s">
        <v>122</v>
      </c>
      <c r="G174" s="12"/>
      <c r="H174" s="13" t="str">
        <f>IF(G174="","",IFERROR(G174/Settings!$B$3,""))</f>
        <v/>
      </c>
      <c r="I174" s="10" t="s">
        <v>36</v>
      </c>
      <c r="J174" s="23" t="s">
        <v>72</v>
      </c>
      <c r="K174" s="10" t="s">
        <v>65</v>
      </c>
      <c r="L174" s="10" t="s">
        <v>84</v>
      </c>
      <c r="M174" s="10" t="s">
        <v>85</v>
      </c>
      <c r="N174" s="10"/>
      <c r="O174" s="15"/>
      <c r="P174" s="15" t="s">
        <v>86</v>
      </c>
      <c r="Q174" s="10" t="s">
        <v>80</v>
      </c>
      <c r="R174" s="11"/>
      <c r="S174" s="10"/>
      <c r="T174" s="10" t="s">
        <v>350</v>
      </c>
      <c r="U174" s="45">
        <v>80</v>
      </c>
      <c r="V174" s="10" t="s">
        <v>274</v>
      </c>
    </row>
    <row r="175" spans="1:22" ht="31.5" customHeight="1" x14ac:dyDescent="1.1000000000000001">
      <c r="A175" s="48"/>
      <c r="B175" s="10" t="s">
        <v>81</v>
      </c>
      <c r="C175" s="10" t="s">
        <v>82</v>
      </c>
      <c r="D175" s="11">
        <v>46272</v>
      </c>
      <c r="E175" s="10" t="s">
        <v>83</v>
      </c>
      <c r="F175" s="10" t="s">
        <v>122</v>
      </c>
      <c r="G175" s="12"/>
      <c r="H175" s="13" t="str">
        <f>IF(G175="","",IFERROR(G175/Settings!$B$3,""))</f>
        <v/>
      </c>
      <c r="I175" s="10" t="s">
        <v>36</v>
      </c>
      <c r="J175" s="23" t="s">
        <v>72</v>
      </c>
      <c r="K175" s="10" t="s">
        <v>65</v>
      </c>
      <c r="L175" s="10" t="s">
        <v>84</v>
      </c>
      <c r="M175" s="10" t="s">
        <v>85</v>
      </c>
      <c r="N175" s="10"/>
      <c r="O175" s="15"/>
      <c r="P175" s="15" t="s">
        <v>86</v>
      </c>
      <c r="Q175" s="10" t="s">
        <v>80</v>
      </c>
      <c r="R175" s="11"/>
      <c r="S175" s="10"/>
      <c r="T175" s="10" t="s">
        <v>351</v>
      </c>
      <c r="U175" s="45">
        <v>200</v>
      </c>
      <c r="V175" s="10" t="s">
        <v>213</v>
      </c>
    </row>
    <row r="176" spans="1:22" ht="31.5" customHeight="1" x14ac:dyDescent="1.1000000000000001">
      <c r="A176" s="48"/>
      <c r="B176" s="10" t="s">
        <v>81</v>
      </c>
      <c r="C176" s="10" t="s">
        <v>82</v>
      </c>
      <c r="D176" s="11">
        <v>46273</v>
      </c>
      <c r="E176" s="10" t="s">
        <v>83</v>
      </c>
      <c r="F176" s="10" t="s">
        <v>122</v>
      </c>
      <c r="G176" s="12"/>
      <c r="H176" s="13" t="str">
        <f>IF(G176="","",IFERROR(G176/Settings!$B$3,""))</f>
        <v/>
      </c>
      <c r="I176" s="10" t="s">
        <v>36</v>
      </c>
      <c r="J176" s="23" t="s">
        <v>72</v>
      </c>
      <c r="K176" s="10" t="s">
        <v>65</v>
      </c>
      <c r="L176" s="10" t="s">
        <v>84</v>
      </c>
      <c r="M176" s="10" t="s">
        <v>85</v>
      </c>
      <c r="N176" s="10"/>
      <c r="O176" s="15"/>
      <c r="P176" s="15" t="s">
        <v>86</v>
      </c>
      <c r="Q176" s="10" t="s">
        <v>80</v>
      </c>
      <c r="R176" s="11"/>
      <c r="S176" s="10"/>
      <c r="T176" s="10" t="s">
        <v>352</v>
      </c>
      <c r="U176" s="45">
        <v>50</v>
      </c>
      <c r="V176" s="10" t="s">
        <v>213</v>
      </c>
    </row>
    <row r="177" spans="1:22" ht="31.5" customHeight="1" x14ac:dyDescent="1.1000000000000001">
      <c r="A177" s="48"/>
      <c r="B177" s="10" t="s">
        <v>81</v>
      </c>
      <c r="C177" s="10" t="s">
        <v>82</v>
      </c>
      <c r="D177" s="11">
        <v>46274</v>
      </c>
      <c r="E177" s="10" t="s">
        <v>83</v>
      </c>
      <c r="F177" s="10" t="s">
        <v>122</v>
      </c>
      <c r="G177" s="12"/>
      <c r="H177" s="13" t="str">
        <f>IF(G177="","",IFERROR(G177/Settings!$B$3,""))</f>
        <v/>
      </c>
      <c r="I177" s="10" t="s">
        <v>36</v>
      </c>
      <c r="J177" s="23" t="s">
        <v>72</v>
      </c>
      <c r="K177" s="10" t="s">
        <v>65</v>
      </c>
      <c r="L177" s="10" t="s">
        <v>84</v>
      </c>
      <c r="M177" s="10" t="s">
        <v>85</v>
      </c>
      <c r="N177" s="10"/>
      <c r="O177" s="15"/>
      <c r="P177" s="15" t="s">
        <v>86</v>
      </c>
      <c r="Q177" s="10" t="s">
        <v>80</v>
      </c>
      <c r="R177" s="11"/>
      <c r="S177" s="10"/>
      <c r="T177" s="10" t="s">
        <v>353</v>
      </c>
      <c r="U177" s="45">
        <v>250</v>
      </c>
      <c r="V177" s="10" t="s">
        <v>213</v>
      </c>
    </row>
    <row r="178" spans="1:22" ht="31.5" customHeight="1" x14ac:dyDescent="1.1000000000000001">
      <c r="A178" s="48"/>
      <c r="B178" s="10" t="s">
        <v>81</v>
      </c>
      <c r="C178" s="10" t="s">
        <v>82</v>
      </c>
      <c r="D178" s="11">
        <v>46275</v>
      </c>
      <c r="E178" s="10" t="s">
        <v>83</v>
      </c>
      <c r="F178" s="10" t="s">
        <v>122</v>
      </c>
      <c r="G178" s="12"/>
      <c r="H178" s="13" t="str">
        <f>IF(G178="","",IFERROR(G178/Settings!$B$3,""))</f>
        <v/>
      </c>
      <c r="I178" s="10" t="s">
        <v>36</v>
      </c>
      <c r="J178" s="23" t="s">
        <v>72</v>
      </c>
      <c r="K178" s="10" t="s">
        <v>65</v>
      </c>
      <c r="L178" s="10" t="s">
        <v>84</v>
      </c>
      <c r="M178" s="10" t="s">
        <v>85</v>
      </c>
      <c r="N178" s="10"/>
      <c r="O178" s="15"/>
      <c r="P178" s="15" t="s">
        <v>86</v>
      </c>
      <c r="Q178" s="10" t="s">
        <v>80</v>
      </c>
      <c r="R178" s="11"/>
      <c r="S178" s="10"/>
      <c r="T178" s="10" t="s">
        <v>354</v>
      </c>
      <c r="U178" s="45">
        <v>250</v>
      </c>
      <c r="V178" s="10" t="s">
        <v>213</v>
      </c>
    </row>
    <row r="179" spans="1:22" ht="31.5" customHeight="1" x14ac:dyDescent="1.1000000000000001">
      <c r="A179" s="48"/>
      <c r="B179" s="10" t="s">
        <v>81</v>
      </c>
      <c r="C179" s="10" t="s">
        <v>82</v>
      </c>
      <c r="D179" s="11">
        <v>46276</v>
      </c>
      <c r="E179" s="10" t="s">
        <v>83</v>
      </c>
      <c r="F179" s="10" t="s">
        <v>122</v>
      </c>
      <c r="G179" s="12"/>
      <c r="H179" s="13" t="str">
        <f>IF(G179="","",IFERROR(G179/Settings!$B$3,""))</f>
        <v/>
      </c>
      <c r="I179" s="10" t="s">
        <v>36</v>
      </c>
      <c r="J179" s="23" t="s">
        <v>72</v>
      </c>
      <c r="K179" s="10" t="s">
        <v>65</v>
      </c>
      <c r="L179" s="10" t="s">
        <v>84</v>
      </c>
      <c r="M179" s="10" t="s">
        <v>85</v>
      </c>
      <c r="N179" s="10"/>
      <c r="O179" s="15"/>
      <c r="P179" s="15" t="s">
        <v>86</v>
      </c>
      <c r="Q179" s="10" t="s">
        <v>80</v>
      </c>
      <c r="R179" s="11"/>
      <c r="S179" s="10"/>
      <c r="T179" s="10" t="s">
        <v>355</v>
      </c>
      <c r="U179" s="45">
        <v>5</v>
      </c>
      <c r="V179" s="10" t="s">
        <v>213</v>
      </c>
    </row>
    <row r="180" spans="1:22" ht="31.5" customHeight="1" x14ac:dyDescent="1.1000000000000001">
      <c r="A180" s="48"/>
      <c r="B180" s="10" t="s">
        <v>81</v>
      </c>
      <c r="C180" s="10" t="s">
        <v>82</v>
      </c>
      <c r="D180" s="11">
        <v>46277</v>
      </c>
      <c r="E180" s="10" t="s">
        <v>83</v>
      </c>
      <c r="F180" s="10" t="s">
        <v>122</v>
      </c>
      <c r="G180" s="12"/>
      <c r="H180" s="13" t="str">
        <f>IF(G180="","",IFERROR(G180/Settings!$B$3,""))</f>
        <v/>
      </c>
      <c r="I180" s="10" t="s">
        <v>36</v>
      </c>
      <c r="J180" s="23" t="s">
        <v>72</v>
      </c>
      <c r="K180" s="10" t="s">
        <v>65</v>
      </c>
      <c r="L180" s="10" t="s">
        <v>84</v>
      </c>
      <c r="M180" s="10" t="s">
        <v>85</v>
      </c>
      <c r="N180" s="10"/>
      <c r="O180" s="15"/>
      <c r="P180" s="15" t="s">
        <v>86</v>
      </c>
      <c r="Q180" s="10" t="s">
        <v>80</v>
      </c>
      <c r="R180" s="11"/>
      <c r="S180" s="10"/>
      <c r="T180" s="10" t="s">
        <v>356</v>
      </c>
      <c r="U180" s="45">
        <v>150</v>
      </c>
      <c r="V180" s="10" t="s">
        <v>220</v>
      </c>
    </row>
    <row r="181" spans="1:22" ht="31.5" customHeight="1" x14ac:dyDescent="1.1000000000000001">
      <c r="A181" s="48"/>
      <c r="B181" s="10" t="s">
        <v>81</v>
      </c>
      <c r="C181" s="10" t="s">
        <v>82</v>
      </c>
      <c r="D181" s="11">
        <v>46278</v>
      </c>
      <c r="E181" s="10" t="s">
        <v>83</v>
      </c>
      <c r="F181" s="10" t="s">
        <v>122</v>
      </c>
      <c r="G181" s="12"/>
      <c r="H181" s="13" t="str">
        <f>IF(G181="","",IFERROR(G181/Settings!$B$3,""))</f>
        <v/>
      </c>
      <c r="I181" s="10" t="s">
        <v>36</v>
      </c>
      <c r="J181" s="23" t="s">
        <v>72</v>
      </c>
      <c r="K181" s="10" t="s">
        <v>65</v>
      </c>
      <c r="L181" s="10" t="s">
        <v>84</v>
      </c>
      <c r="M181" s="10" t="s">
        <v>85</v>
      </c>
      <c r="N181" s="10"/>
      <c r="O181" s="15"/>
      <c r="P181" s="15" t="s">
        <v>86</v>
      </c>
      <c r="Q181" s="10" t="s">
        <v>80</v>
      </c>
      <c r="R181" s="11"/>
      <c r="S181" s="10"/>
      <c r="T181" s="10" t="s">
        <v>357</v>
      </c>
      <c r="U181" s="45">
        <v>5</v>
      </c>
      <c r="V181" s="10" t="s">
        <v>220</v>
      </c>
    </row>
    <row r="182" spans="1:22" ht="31.5" customHeight="1" x14ac:dyDescent="1.1000000000000001">
      <c r="A182" s="48"/>
      <c r="B182" s="10" t="s">
        <v>81</v>
      </c>
      <c r="C182" s="10" t="s">
        <v>82</v>
      </c>
      <c r="D182" s="11">
        <v>46279</v>
      </c>
      <c r="E182" s="10" t="s">
        <v>83</v>
      </c>
      <c r="F182" s="10" t="s">
        <v>122</v>
      </c>
      <c r="G182" s="12"/>
      <c r="H182" s="13" t="str">
        <f>IF(G182="","",IFERROR(G182/Settings!$B$3,""))</f>
        <v/>
      </c>
      <c r="I182" s="10" t="s">
        <v>36</v>
      </c>
      <c r="J182" s="23" t="s">
        <v>72</v>
      </c>
      <c r="K182" s="10" t="s">
        <v>65</v>
      </c>
      <c r="L182" s="10" t="s">
        <v>84</v>
      </c>
      <c r="M182" s="10" t="s">
        <v>85</v>
      </c>
      <c r="N182" s="10"/>
      <c r="O182" s="15"/>
      <c r="P182" s="15" t="s">
        <v>86</v>
      </c>
      <c r="Q182" s="10" t="s">
        <v>80</v>
      </c>
      <c r="R182" s="11"/>
      <c r="S182" s="10"/>
      <c r="T182" s="10" t="s">
        <v>358</v>
      </c>
      <c r="U182" s="45">
        <v>200</v>
      </c>
      <c r="V182" s="10" t="s">
        <v>213</v>
      </c>
    </row>
    <row r="183" spans="1:22" ht="31.5" customHeight="1" x14ac:dyDescent="1.1000000000000001">
      <c r="A183" s="48"/>
      <c r="B183" s="10" t="s">
        <v>81</v>
      </c>
      <c r="C183" s="10" t="s">
        <v>82</v>
      </c>
      <c r="D183" s="11">
        <v>46280</v>
      </c>
      <c r="E183" s="10" t="s">
        <v>83</v>
      </c>
      <c r="F183" s="10" t="s">
        <v>122</v>
      </c>
      <c r="G183" s="12"/>
      <c r="H183" s="13" t="str">
        <f>IF(G183="","",IFERROR(G183/Settings!$B$3,""))</f>
        <v/>
      </c>
      <c r="I183" s="10" t="s">
        <v>36</v>
      </c>
      <c r="J183" s="23" t="s">
        <v>72</v>
      </c>
      <c r="K183" s="10" t="s">
        <v>65</v>
      </c>
      <c r="L183" s="10" t="s">
        <v>84</v>
      </c>
      <c r="M183" s="10" t="s">
        <v>85</v>
      </c>
      <c r="N183" s="10"/>
      <c r="O183" s="15"/>
      <c r="P183" s="15" t="s">
        <v>86</v>
      </c>
      <c r="Q183" s="10" t="s">
        <v>80</v>
      </c>
      <c r="R183" s="11"/>
      <c r="S183" s="10"/>
      <c r="T183" s="10" t="s">
        <v>359</v>
      </c>
      <c r="U183" s="45">
        <v>20</v>
      </c>
      <c r="V183" s="10" t="s">
        <v>213</v>
      </c>
    </row>
    <row r="184" spans="1:22" ht="31.5" customHeight="1" x14ac:dyDescent="1.1000000000000001">
      <c r="A184" s="48"/>
      <c r="B184" s="10" t="s">
        <v>81</v>
      </c>
      <c r="C184" s="10" t="s">
        <v>82</v>
      </c>
      <c r="D184" s="11">
        <v>46281</v>
      </c>
      <c r="E184" s="10" t="s">
        <v>83</v>
      </c>
      <c r="F184" s="10" t="s">
        <v>122</v>
      </c>
      <c r="G184" s="12"/>
      <c r="H184" s="13" t="str">
        <f>IF(G184="","",IFERROR(G184/Settings!$B$3,""))</f>
        <v/>
      </c>
      <c r="I184" s="10" t="s">
        <v>36</v>
      </c>
      <c r="J184" s="23" t="s">
        <v>72</v>
      </c>
      <c r="K184" s="10" t="s">
        <v>65</v>
      </c>
      <c r="L184" s="10" t="s">
        <v>84</v>
      </c>
      <c r="M184" s="10" t="s">
        <v>85</v>
      </c>
      <c r="N184" s="10"/>
      <c r="O184" s="15"/>
      <c r="P184" s="15" t="s">
        <v>86</v>
      </c>
      <c r="Q184" s="10" t="s">
        <v>80</v>
      </c>
      <c r="R184" s="11"/>
      <c r="S184" s="10"/>
      <c r="T184" s="10" t="s">
        <v>360</v>
      </c>
      <c r="U184" s="45">
        <v>10</v>
      </c>
      <c r="V184" s="10" t="s">
        <v>213</v>
      </c>
    </row>
    <row r="185" spans="1:22" ht="31.5" customHeight="1" x14ac:dyDescent="1.1000000000000001">
      <c r="A185" s="48"/>
      <c r="B185" s="10" t="s">
        <v>81</v>
      </c>
      <c r="C185" s="10" t="s">
        <v>82</v>
      </c>
      <c r="D185" s="11">
        <v>46282</v>
      </c>
      <c r="E185" s="10" t="s">
        <v>83</v>
      </c>
      <c r="F185" s="10" t="s">
        <v>122</v>
      </c>
      <c r="G185" s="12"/>
      <c r="H185" s="13" t="str">
        <f>IF(G185="","",IFERROR(G185/Settings!$B$3,""))</f>
        <v/>
      </c>
      <c r="I185" s="10" t="s">
        <v>36</v>
      </c>
      <c r="J185" s="23" t="s">
        <v>72</v>
      </c>
      <c r="K185" s="10" t="s">
        <v>65</v>
      </c>
      <c r="L185" s="10" t="s">
        <v>84</v>
      </c>
      <c r="M185" s="10" t="s">
        <v>85</v>
      </c>
      <c r="N185" s="10"/>
      <c r="O185" s="15"/>
      <c r="P185" s="15" t="s">
        <v>86</v>
      </c>
      <c r="Q185" s="10" t="s">
        <v>80</v>
      </c>
      <c r="R185" s="11"/>
      <c r="S185" s="10"/>
      <c r="T185" s="10" t="s">
        <v>361</v>
      </c>
      <c r="U185" s="45">
        <v>10</v>
      </c>
      <c r="V185" s="10" t="s">
        <v>213</v>
      </c>
    </row>
    <row r="186" spans="1:22" ht="31.5" customHeight="1" x14ac:dyDescent="1.1000000000000001">
      <c r="A186" s="48"/>
      <c r="B186" s="10" t="s">
        <v>81</v>
      </c>
      <c r="C186" s="10" t="s">
        <v>82</v>
      </c>
      <c r="D186" s="11">
        <v>46282</v>
      </c>
      <c r="E186" s="10" t="s">
        <v>83</v>
      </c>
      <c r="F186" s="10" t="s">
        <v>122</v>
      </c>
      <c r="G186" s="12"/>
      <c r="H186" s="13" t="str">
        <f>IF(G186="","",IFERROR(G186/Settings!$B$3,""))</f>
        <v/>
      </c>
      <c r="I186" s="10" t="s">
        <v>36</v>
      </c>
      <c r="J186" s="23" t="s">
        <v>72</v>
      </c>
      <c r="K186" s="10" t="s">
        <v>65</v>
      </c>
      <c r="L186" s="10" t="s">
        <v>84</v>
      </c>
      <c r="M186" s="10" t="s">
        <v>85</v>
      </c>
      <c r="N186" s="10"/>
      <c r="O186" s="15"/>
      <c r="P186" s="15" t="s">
        <v>86</v>
      </c>
      <c r="Q186" s="10" t="s">
        <v>80</v>
      </c>
      <c r="R186" s="11"/>
      <c r="S186" s="10"/>
      <c r="T186" s="10" t="s">
        <v>362</v>
      </c>
      <c r="U186" s="45">
        <v>10</v>
      </c>
      <c r="V186" s="10" t="s">
        <v>213</v>
      </c>
    </row>
    <row r="187" spans="1:22" ht="31.5" customHeight="1" x14ac:dyDescent="1.1000000000000001">
      <c r="A187" s="48"/>
      <c r="B187" s="10" t="s">
        <v>81</v>
      </c>
      <c r="C187" s="10" t="s">
        <v>82</v>
      </c>
      <c r="D187" s="11">
        <v>46282</v>
      </c>
      <c r="E187" s="10" t="s">
        <v>83</v>
      </c>
      <c r="F187" s="10" t="s">
        <v>122</v>
      </c>
      <c r="G187" s="12"/>
      <c r="H187" s="13" t="str">
        <f>IF(G187="","",IFERROR(G187/Settings!$B$3,""))</f>
        <v/>
      </c>
      <c r="I187" s="10" t="s">
        <v>36</v>
      </c>
      <c r="J187" s="23" t="s">
        <v>72</v>
      </c>
      <c r="K187" s="10" t="s">
        <v>65</v>
      </c>
      <c r="L187" s="10" t="s">
        <v>84</v>
      </c>
      <c r="M187" s="10" t="s">
        <v>85</v>
      </c>
      <c r="N187" s="10"/>
      <c r="O187" s="15"/>
      <c r="P187" s="15" t="s">
        <v>86</v>
      </c>
      <c r="Q187" s="10" t="s">
        <v>80</v>
      </c>
      <c r="R187" s="11"/>
      <c r="S187" s="10"/>
      <c r="T187" s="10" t="s">
        <v>363</v>
      </c>
      <c r="U187" s="45">
        <v>10</v>
      </c>
      <c r="V187" s="10" t="s">
        <v>213</v>
      </c>
    </row>
    <row r="188" spans="1:22" ht="31.5" customHeight="1" x14ac:dyDescent="1.1000000000000001">
      <c r="A188" s="48"/>
      <c r="B188" s="10" t="s">
        <v>81</v>
      </c>
      <c r="C188" s="10" t="s">
        <v>82</v>
      </c>
      <c r="D188" s="11">
        <v>46282</v>
      </c>
      <c r="E188" s="10" t="s">
        <v>83</v>
      </c>
      <c r="F188" s="10" t="s">
        <v>122</v>
      </c>
      <c r="G188" s="12"/>
      <c r="H188" s="13" t="str">
        <f>IF(G188="","",IFERROR(G188/Settings!$B$3,""))</f>
        <v/>
      </c>
      <c r="I188" s="10" t="s">
        <v>36</v>
      </c>
      <c r="J188" s="23" t="s">
        <v>72</v>
      </c>
      <c r="K188" s="10" t="s">
        <v>65</v>
      </c>
      <c r="L188" s="10" t="s">
        <v>84</v>
      </c>
      <c r="M188" s="10" t="s">
        <v>85</v>
      </c>
      <c r="N188" s="10"/>
      <c r="O188" s="15"/>
      <c r="P188" s="15" t="s">
        <v>86</v>
      </c>
      <c r="Q188" s="10" t="s">
        <v>80</v>
      </c>
      <c r="R188" s="11"/>
      <c r="S188" s="10"/>
      <c r="T188" s="10" t="s">
        <v>364</v>
      </c>
      <c r="U188" s="45">
        <v>10</v>
      </c>
      <c r="V188" s="10" t="s">
        <v>213</v>
      </c>
    </row>
    <row r="189" spans="1:22" ht="31.5" customHeight="1" x14ac:dyDescent="1.1000000000000001">
      <c r="A189" s="48"/>
      <c r="B189" s="10" t="s">
        <v>81</v>
      </c>
      <c r="C189" s="10" t="s">
        <v>82</v>
      </c>
      <c r="D189" s="11">
        <v>46282</v>
      </c>
      <c r="E189" s="10" t="s">
        <v>83</v>
      </c>
      <c r="F189" s="10" t="s">
        <v>122</v>
      </c>
      <c r="G189" s="12"/>
      <c r="H189" s="13" t="str">
        <f>IF(G189="","",IFERROR(G189/Settings!$B$3,""))</f>
        <v/>
      </c>
      <c r="I189" s="10" t="s">
        <v>36</v>
      </c>
      <c r="J189" s="23" t="s">
        <v>72</v>
      </c>
      <c r="K189" s="10" t="s">
        <v>65</v>
      </c>
      <c r="L189" s="10" t="s">
        <v>84</v>
      </c>
      <c r="M189" s="10" t="s">
        <v>85</v>
      </c>
      <c r="N189" s="10"/>
      <c r="O189" s="15"/>
      <c r="P189" s="15" t="s">
        <v>86</v>
      </c>
      <c r="Q189" s="10" t="s">
        <v>80</v>
      </c>
      <c r="R189" s="11"/>
      <c r="S189" s="10"/>
      <c r="T189" s="10" t="s">
        <v>365</v>
      </c>
      <c r="U189" s="45">
        <v>50</v>
      </c>
      <c r="V189" s="10" t="s">
        <v>213</v>
      </c>
    </row>
    <row r="190" spans="1:22" ht="31.5" customHeight="1" x14ac:dyDescent="1.1000000000000001">
      <c r="A190" s="48"/>
      <c r="B190" s="10" t="s">
        <v>81</v>
      </c>
      <c r="C190" s="10" t="s">
        <v>82</v>
      </c>
      <c r="D190" s="11">
        <v>46282</v>
      </c>
      <c r="E190" s="10" t="s">
        <v>83</v>
      </c>
      <c r="F190" s="10" t="s">
        <v>122</v>
      </c>
      <c r="G190" s="12"/>
      <c r="H190" s="13" t="str">
        <f>IF(G190="","",IFERROR(G190/Settings!$B$3,""))</f>
        <v/>
      </c>
      <c r="I190" s="10" t="s">
        <v>36</v>
      </c>
      <c r="J190" s="23" t="s">
        <v>72</v>
      </c>
      <c r="K190" s="10" t="s">
        <v>65</v>
      </c>
      <c r="L190" s="10" t="s">
        <v>84</v>
      </c>
      <c r="M190" s="10" t="s">
        <v>85</v>
      </c>
      <c r="N190" s="10"/>
      <c r="O190" s="15"/>
      <c r="P190" s="15" t="s">
        <v>86</v>
      </c>
      <c r="Q190" s="10" t="s">
        <v>80</v>
      </c>
      <c r="R190" s="11"/>
      <c r="S190" s="10"/>
      <c r="T190" s="10" t="s">
        <v>366</v>
      </c>
      <c r="U190" s="45">
        <v>50</v>
      </c>
      <c r="V190" s="10" t="s">
        <v>213</v>
      </c>
    </row>
    <row r="191" spans="1:22" ht="31.5" customHeight="1" x14ac:dyDescent="1.1000000000000001">
      <c r="A191" s="48"/>
      <c r="B191" s="10" t="s">
        <v>81</v>
      </c>
      <c r="C191" s="10" t="s">
        <v>82</v>
      </c>
      <c r="D191" s="11">
        <v>46282</v>
      </c>
      <c r="E191" s="10" t="s">
        <v>83</v>
      </c>
      <c r="F191" s="10" t="s">
        <v>122</v>
      </c>
      <c r="G191" s="12"/>
      <c r="H191" s="13" t="str">
        <f>IF(G191="","",IFERROR(G191/Settings!$B$3,""))</f>
        <v/>
      </c>
      <c r="I191" s="10" t="s">
        <v>36</v>
      </c>
      <c r="J191" s="23" t="s">
        <v>72</v>
      </c>
      <c r="K191" s="10" t="s">
        <v>65</v>
      </c>
      <c r="L191" s="10" t="s">
        <v>84</v>
      </c>
      <c r="M191" s="10" t="s">
        <v>85</v>
      </c>
      <c r="N191" s="10"/>
      <c r="O191" s="15"/>
      <c r="P191" s="15" t="s">
        <v>86</v>
      </c>
      <c r="Q191" s="10" t="s">
        <v>80</v>
      </c>
      <c r="R191" s="11"/>
      <c r="S191" s="10"/>
      <c r="T191" s="10" t="s">
        <v>325</v>
      </c>
      <c r="U191" s="45">
        <v>30</v>
      </c>
      <c r="V191" s="10" t="s">
        <v>220</v>
      </c>
    </row>
    <row r="192" spans="1:22" x14ac:dyDescent="1.1000000000000001">
      <c r="A192" s="16">
        <v>8</v>
      </c>
      <c r="B192" s="16" t="s">
        <v>87</v>
      </c>
      <c r="C192" s="16" t="s">
        <v>88</v>
      </c>
      <c r="D192" s="17">
        <v>46076</v>
      </c>
      <c r="E192" s="16" t="s">
        <v>55</v>
      </c>
      <c r="F192" s="16" t="s">
        <v>122</v>
      </c>
      <c r="G192" s="18"/>
      <c r="H192" s="19" t="str">
        <f>IF(G192="","",IFERROR(G192/Settings!$B$3,""))</f>
        <v/>
      </c>
      <c r="I192" s="16" t="s">
        <v>36</v>
      </c>
      <c r="J192" s="23" t="s">
        <v>72</v>
      </c>
      <c r="K192" s="16" t="s">
        <v>65</v>
      </c>
      <c r="L192" s="16" t="s">
        <v>89</v>
      </c>
      <c r="M192" s="16" t="s">
        <v>90</v>
      </c>
      <c r="N192" s="16"/>
      <c r="O192" s="21"/>
      <c r="P192" s="21" t="s">
        <v>91</v>
      </c>
      <c r="Q192" s="16" t="s">
        <v>80</v>
      </c>
      <c r="R192" s="17"/>
      <c r="S192" s="10"/>
      <c r="T192" s="10"/>
      <c r="U192" s="45"/>
      <c r="V192" s="10"/>
    </row>
    <row r="193" spans="1:22" ht="21.75" customHeight="1" x14ac:dyDescent="1.1000000000000001">
      <c r="A193" s="10">
        <v>9</v>
      </c>
      <c r="B193" s="10" t="s">
        <v>133</v>
      </c>
      <c r="C193" s="10" t="s">
        <v>134</v>
      </c>
      <c r="D193" s="11">
        <v>46160</v>
      </c>
      <c r="E193" s="10"/>
      <c r="F193" s="10" t="s">
        <v>123</v>
      </c>
      <c r="G193" s="12"/>
      <c r="H193" s="13" t="str">
        <f>IF(G193="","",IFERROR(G193/Settings!$B$3,""))</f>
        <v/>
      </c>
      <c r="I193" s="10" t="s">
        <v>141</v>
      </c>
      <c r="J193" s="10" t="s">
        <v>37</v>
      </c>
      <c r="K193" s="10" t="s">
        <v>65</v>
      </c>
      <c r="L193" s="44" t="s">
        <v>135</v>
      </c>
      <c r="M193" t="s">
        <v>115</v>
      </c>
      <c r="N193" t="s">
        <v>136</v>
      </c>
      <c r="O193">
        <v>10392</v>
      </c>
      <c r="P193" s="15" t="s">
        <v>137</v>
      </c>
      <c r="Q193" s="10" t="s">
        <v>138</v>
      </c>
      <c r="R193" s="11"/>
      <c r="S193" s="10"/>
      <c r="T193" s="10"/>
      <c r="U193" s="45"/>
      <c r="V193" s="10"/>
    </row>
    <row r="194" spans="1:22" ht="21.75" customHeight="1" x14ac:dyDescent="1.1000000000000001">
      <c r="A194" s="16">
        <v>10</v>
      </c>
      <c r="B194" s="10" t="s">
        <v>139</v>
      </c>
      <c r="C194" s="10" t="s">
        <v>140</v>
      </c>
      <c r="D194" s="11">
        <v>46160</v>
      </c>
      <c r="E194" s="10"/>
      <c r="F194" s="10" t="s">
        <v>123</v>
      </c>
      <c r="G194" s="11"/>
      <c r="H194" s="10" t="str">
        <f>IF(G194="","",IFERROR(G194/Settings!$B$3,""))</f>
        <v/>
      </c>
      <c r="I194" s="10" t="s">
        <v>141</v>
      </c>
      <c r="J194" s="11" t="s">
        <v>37</v>
      </c>
      <c r="K194" s="10" t="s">
        <v>65</v>
      </c>
      <c r="L194" s="44" t="s">
        <v>144</v>
      </c>
      <c r="M194" s="11" t="s">
        <v>142</v>
      </c>
      <c r="N194" s="10" t="s">
        <v>136</v>
      </c>
      <c r="O194" s="10">
        <v>20660</v>
      </c>
      <c r="P194" s="11" t="s">
        <v>143</v>
      </c>
      <c r="Q194" s="10" t="s">
        <v>138</v>
      </c>
      <c r="R194" s="10"/>
      <c r="S194" s="10"/>
      <c r="T194" s="10"/>
      <c r="U194" s="45"/>
      <c r="V194" s="10"/>
    </row>
    <row r="195" spans="1:22" ht="21.75" customHeight="1" x14ac:dyDescent="1.1000000000000001">
      <c r="A195" s="47">
        <v>11</v>
      </c>
      <c r="B195" s="10" t="s">
        <v>145</v>
      </c>
      <c r="C195" s="10" t="s">
        <v>146</v>
      </c>
      <c r="D195" s="11">
        <v>46162</v>
      </c>
      <c r="E195" s="10" t="s">
        <v>147</v>
      </c>
      <c r="F195" s="10" t="s">
        <v>124</v>
      </c>
      <c r="G195" s="12"/>
      <c r="H195" s="13" t="str">
        <f>IF(G195="","",IFERROR(G195/Settings!$B$3,""))</f>
        <v/>
      </c>
      <c r="I195" s="10" t="s">
        <v>36</v>
      </c>
      <c r="J195" s="10" t="s">
        <v>37</v>
      </c>
      <c r="K195" s="10" t="s">
        <v>150</v>
      </c>
      <c r="L195" s="10"/>
      <c r="M195" s="10" t="s">
        <v>148</v>
      </c>
      <c r="N195" s="10" t="s">
        <v>149</v>
      </c>
      <c r="O195" s="15"/>
      <c r="P195" s="15"/>
      <c r="Q195" s="10"/>
      <c r="R195" s="11"/>
      <c r="S195" s="10"/>
      <c r="T195" s="10"/>
      <c r="U195" s="45"/>
      <c r="V195" s="10" t="s">
        <v>191</v>
      </c>
    </row>
    <row r="196" spans="1:22" ht="21.75" customHeight="1" x14ac:dyDescent="1.1000000000000001">
      <c r="A196" s="48"/>
      <c r="B196" s="10" t="s">
        <v>145</v>
      </c>
      <c r="C196" s="10" t="s">
        <v>146</v>
      </c>
      <c r="D196" s="11">
        <v>46163</v>
      </c>
      <c r="E196" s="10" t="s">
        <v>147</v>
      </c>
      <c r="F196" s="10" t="s">
        <v>124</v>
      </c>
      <c r="G196" s="12"/>
      <c r="H196" s="13" t="str">
        <f>IF(G196="","",IFERROR(G196/Settings!$B$3,""))</f>
        <v/>
      </c>
      <c r="I196" s="10" t="s">
        <v>36</v>
      </c>
      <c r="J196" s="10" t="s">
        <v>37</v>
      </c>
      <c r="K196" s="10" t="s">
        <v>150</v>
      </c>
      <c r="L196" s="10"/>
      <c r="M196" s="10" t="s">
        <v>148</v>
      </c>
      <c r="N196" s="10" t="s">
        <v>149</v>
      </c>
      <c r="O196" s="15"/>
      <c r="P196" s="15"/>
      <c r="Q196" s="10"/>
      <c r="R196" s="11"/>
      <c r="S196" s="10"/>
      <c r="T196" s="10"/>
      <c r="U196" s="45"/>
      <c r="V196" s="10" t="s">
        <v>368</v>
      </c>
    </row>
    <row r="197" spans="1:22" x14ac:dyDescent="1.1000000000000001">
      <c r="A197" s="49"/>
      <c r="B197" s="10" t="s">
        <v>145</v>
      </c>
      <c r="C197" s="10" t="s">
        <v>146</v>
      </c>
      <c r="D197" s="11">
        <v>46164</v>
      </c>
      <c r="E197" s="10" t="s">
        <v>147</v>
      </c>
      <c r="F197" s="10" t="s">
        <v>124</v>
      </c>
      <c r="G197" s="12"/>
      <c r="H197" s="13" t="str">
        <f>IF(G197="","",IFERROR(G197/Settings!$B$3,""))</f>
        <v/>
      </c>
      <c r="I197" s="10" t="s">
        <v>36</v>
      </c>
      <c r="J197" s="10" t="s">
        <v>37</v>
      </c>
      <c r="K197" s="10" t="s">
        <v>150</v>
      </c>
      <c r="L197" s="10"/>
      <c r="M197" s="10" t="s">
        <v>148</v>
      </c>
      <c r="N197" s="10" t="s">
        <v>149</v>
      </c>
      <c r="O197" s="15"/>
      <c r="P197" s="15"/>
      <c r="Q197" s="10"/>
      <c r="R197" s="11"/>
      <c r="S197" s="10"/>
      <c r="T197" s="10"/>
      <c r="U197" s="45"/>
      <c r="V197" s="10" t="s">
        <v>367</v>
      </c>
    </row>
    <row r="198" spans="1:22" x14ac:dyDescent="1.1000000000000001">
      <c r="A198" s="10"/>
      <c r="B198" s="10"/>
      <c r="C198" s="10"/>
      <c r="D198" s="11"/>
      <c r="E198" s="10"/>
      <c r="F198" s="10"/>
      <c r="G198" s="12"/>
      <c r="H198" s="13" t="str">
        <f>IF(G198="","",IFERROR(G198/Settings!$B$3,""))</f>
        <v/>
      </c>
      <c r="I198" s="10"/>
      <c r="J198" s="10"/>
      <c r="K198" s="10"/>
      <c r="L198" s="10"/>
    </row>
    <row r="199" spans="1:22" x14ac:dyDescent="1.1000000000000001">
      <c r="H199" s="24" t="str">
        <f>IF(G199="","",IFERROR(G199/Settings!$B$3,""))</f>
        <v/>
      </c>
    </row>
    <row r="200" spans="1:22" x14ac:dyDescent="1.1000000000000001">
      <c r="H200" s="24" t="str">
        <f>IF(G200="","",IFERROR(G200/Settings!$B$3,""))</f>
        <v/>
      </c>
    </row>
    <row r="201" spans="1:22" x14ac:dyDescent="1.1000000000000001">
      <c r="H201" s="24" t="str">
        <f>IF(G201="","",IFERROR(G201/Settings!$B$3,""))</f>
        <v/>
      </c>
    </row>
    <row r="202" spans="1:22" x14ac:dyDescent="1.1000000000000001">
      <c r="H202" s="24" t="str">
        <f>IF(G202="","",IFERROR(G202/Settings!$B$3,""))</f>
        <v/>
      </c>
    </row>
    <row r="203" spans="1:22" x14ac:dyDescent="1.1000000000000001">
      <c r="H203" s="24" t="str">
        <f>IF(G203="","",IFERROR(G203/Settings!$B$3,""))</f>
        <v/>
      </c>
    </row>
    <row r="204" spans="1:22" x14ac:dyDescent="1.1000000000000001">
      <c r="H204" s="24" t="str">
        <f>IF(G204="","",IFERROR(G204/Settings!$B$3,""))</f>
        <v/>
      </c>
    </row>
    <row r="205" spans="1:22" x14ac:dyDescent="1.1000000000000001">
      <c r="H205" s="24" t="str">
        <f>IF(G205="","",IFERROR(G205/Settings!$B$3,""))</f>
        <v/>
      </c>
    </row>
    <row r="206" spans="1:22" x14ac:dyDescent="1.1000000000000001">
      <c r="H206" s="24" t="str">
        <f>IF(G206="","",IFERROR(G206/Settings!$B$3,""))</f>
        <v/>
      </c>
    </row>
    <row r="207" spans="1:22" x14ac:dyDescent="1.1000000000000001">
      <c r="H207" s="24" t="str">
        <f>IF(G207="","",IFERROR(G207/Settings!$B$3,""))</f>
        <v/>
      </c>
    </row>
    <row r="208" spans="1:22" x14ac:dyDescent="1.1000000000000001">
      <c r="H208" s="24" t="str">
        <f>IF(G208="","",IFERROR(G208/Settings!$B$3,""))</f>
        <v/>
      </c>
    </row>
    <row r="209" spans="8:8" x14ac:dyDescent="1.1000000000000001">
      <c r="H209" s="24" t="str">
        <f>IF(G209="","",IFERROR(G209/Settings!$B$3,""))</f>
        <v/>
      </c>
    </row>
    <row r="210" spans="8:8" x14ac:dyDescent="1.1000000000000001">
      <c r="H210" s="24" t="str">
        <f>IF(G210="","",IFERROR(G210/Settings!$B$3,""))</f>
        <v/>
      </c>
    </row>
    <row r="211" spans="8:8" x14ac:dyDescent="1.1000000000000001">
      <c r="H211" s="24" t="str">
        <f>IF(G211="","",IFERROR(G211/Settings!$B$3,""))</f>
        <v/>
      </c>
    </row>
    <row r="212" spans="8:8" x14ac:dyDescent="1.1000000000000001">
      <c r="H212" s="24" t="str">
        <f>IF(G212="","",IFERROR(G212/Settings!$B$3,""))</f>
        <v/>
      </c>
    </row>
    <row r="213" spans="8:8" x14ac:dyDescent="1.1000000000000001">
      <c r="H213" s="24" t="str">
        <f>IF(G213="","",IFERROR(G213/Settings!$B$3,""))</f>
        <v/>
      </c>
    </row>
    <row r="214" spans="8:8" x14ac:dyDescent="1.1000000000000001">
      <c r="H214" s="24" t="str">
        <f>IF(G214="","",IFERROR(G214/Settings!$B$3,""))</f>
        <v/>
      </c>
    </row>
    <row r="215" spans="8:8" x14ac:dyDescent="1.1000000000000001">
      <c r="H215" s="24" t="str">
        <f>IF(G215="","",IFERROR(G215/Settings!$B$3,""))</f>
        <v/>
      </c>
    </row>
    <row r="216" spans="8:8" x14ac:dyDescent="1.1000000000000001">
      <c r="H216" s="24" t="str">
        <f>IF(G216="","",IFERROR(G216/Settings!$B$3,""))</f>
        <v/>
      </c>
    </row>
    <row r="217" spans="8:8" x14ac:dyDescent="1.1000000000000001">
      <c r="H217" s="24" t="str">
        <f>IF(G217="","",IFERROR(G217/Settings!$B$3,""))</f>
        <v/>
      </c>
    </row>
    <row r="218" spans="8:8" x14ac:dyDescent="1.1000000000000001">
      <c r="H218" s="24" t="str">
        <f>IF(G218="","",IFERROR(G218/Settings!$B$3,""))</f>
        <v/>
      </c>
    </row>
    <row r="219" spans="8:8" x14ac:dyDescent="1.1000000000000001">
      <c r="H219" s="24" t="str">
        <f>IF(G219="","",IFERROR(G219/Settings!$B$3,""))</f>
        <v/>
      </c>
    </row>
    <row r="220" spans="8:8" x14ac:dyDescent="1.1000000000000001">
      <c r="H220" s="24" t="str">
        <f>IF(G220="","",IFERROR(G220/Settings!$B$3,""))</f>
        <v/>
      </c>
    </row>
    <row r="221" spans="8:8" x14ac:dyDescent="1.1000000000000001">
      <c r="H221" s="24" t="str">
        <f>IF(G221="","",IFERROR(G221/Settings!$B$3,""))</f>
        <v/>
      </c>
    </row>
    <row r="222" spans="8:8" x14ac:dyDescent="1.1000000000000001">
      <c r="H222" s="24" t="str">
        <f>IF(G222="","",IFERROR(G222/Settings!$B$3,""))</f>
        <v/>
      </c>
    </row>
    <row r="223" spans="8:8" x14ac:dyDescent="1.1000000000000001">
      <c r="H223" s="24" t="str">
        <f>IF(G223="","",IFERROR(G223/Settings!$B$3,""))</f>
        <v/>
      </c>
    </row>
    <row r="224" spans="8:8" x14ac:dyDescent="1.1000000000000001">
      <c r="H224" s="24" t="str">
        <f>IF(G224="","",IFERROR(G224/Settings!$B$3,""))</f>
        <v/>
      </c>
    </row>
    <row r="225" spans="8:8" x14ac:dyDescent="1.1000000000000001">
      <c r="H225" s="24" t="str">
        <f>IF(G225="","",IFERROR(G225/Settings!$B$3,""))</f>
        <v/>
      </c>
    </row>
    <row r="226" spans="8:8" x14ac:dyDescent="1.1000000000000001">
      <c r="H226" s="24" t="str">
        <f>IF(G226="","",IFERROR(G226/Settings!$B$3,""))</f>
        <v/>
      </c>
    </row>
    <row r="227" spans="8:8" x14ac:dyDescent="1.1000000000000001">
      <c r="H227" s="24" t="str">
        <f>IF(G227="","",IFERROR(G227/Settings!$B$3,""))</f>
        <v/>
      </c>
    </row>
    <row r="228" spans="8:8" x14ac:dyDescent="1.1000000000000001">
      <c r="H228" s="24" t="str">
        <f>IF(G228="","",IFERROR(G228/Settings!$B$3,""))</f>
        <v/>
      </c>
    </row>
    <row r="229" spans="8:8" x14ac:dyDescent="1.1000000000000001">
      <c r="H229" s="24" t="str">
        <f>IF(G229="","",IFERROR(G229/Settings!$B$3,""))</f>
        <v/>
      </c>
    </row>
    <row r="230" spans="8:8" x14ac:dyDescent="1.1000000000000001">
      <c r="H230" s="24" t="str">
        <f>IF(G230="","",IFERROR(G230/Settings!$B$3,""))</f>
        <v/>
      </c>
    </row>
    <row r="231" spans="8:8" x14ac:dyDescent="1.1000000000000001">
      <c r="H231" s="24" t="str">
        <f>IF(G231="","",IFERROR(G231/Settings!$B$3,""))</f>
        <v/>
      </c>
    </row>
    <row r="232" spans="8:8" x14ac:dyDescent="1.1000000000000001">
      <c r="H232" s="24" t="str">
        <f>IF(G232="","",IFERROR(G232/Settings!$B$3,""))</f>
        <v/>
      </c>
    </row>
    <row r="233" spans="8:8" x14ac:dyDescent="1.1000000000000001">
      <c r="H233" s="24" t="str">
        <f>IF(G233="","",IFERROR(G233/Settings!$B$3,""))</f>
        <v/>
      </c>
    </row>
    <row r="234" spans="8:8" x14ac:dyDescent="1.1000000000000001">
      <c r="H234" s="24" t="str">
        <f>IF(G234="","",IFERROR(G234/Settings!$B$3,""))</f>
        <v/>
      </c>
    </row>
    <row r="235" spans="8:8" x14ac:dyDescent="1.1000000000000001">
      <c r="H235" s="24" t="str">
        <f>IF(G235="","",IFERROR(G235/Settings!$B$3,""))</f>
        <v/>
      </c>
    </row>
    <row r="236" spans="8:8" x14ac:dyDescent="1.1000000000000001">
      <c r="H236" s="24" t="str">
        <f>IF(G236="","",IFERROR(G236/Settings!$B$3,""))</f>
        <v/>
      </c>
    </row>
    <row r="237" spans="8:8" x14ac:dyDescent="1.1000000000000001">
      <c r="H237" s="24" t="str">
        <f>IF(G237="","",IFERROR(G237/Settings!$B$3,""))</f>
        <v/>
      </c>
    </row>
    <row r="238" spans="8:8" x14ac:dyDescent="1.1000000000000001">
      <c r="H238" s="24" t="str">
        <f>IF(G238="","",IFERROR(G238/Settings!$B$3,""))</f>
        <v/>
      </c>
    </row>
    <row r="239" spans="8:8" x14ac:dyDescent="1.1000000000000001">
      <c r="H239" s="24" t="str">
        <f>IF(G239="","",IFERROR(G239/Settings!$B$3,""))</f>
        <v/>
      </c>
    </row>
    <row r="240" spans="8:8" x14ac:dyDescent="1.1000000000000001">
      <c r="H240" s="24" t="str">
        <f>IF(G240="","",IFERROR(G240/Settings!$B$3,""))</f>
        <v/>
      </c>
    </row>
    <row r="241" spans="8:8" x14ac:dyDescent="1.1000000000000001">
      <c r="H241" s="24" t="str">
        <f>IF(G241="","",IFERROR(G241/Settings!$B$3,""))</f>
        <v/>
      </c>
    </row>
    <row r="242" spans="8:8" x14ac:dyDescent="1.1000000000000001">
      <c r="H242" s="24" t="str">
        <f>IF(G242="","",IFERROR(G242/Settings!$B$3,""))</f>
        <v/>
      </c>
    </row>
    <row r="243" spans="8:8" x14ac:dyDescent="1.1000000000000001">
      <c r="H243" s="24" t="str">
        <f>IF(G243="","",IFERROR(G243/Settings!$B$3,""))</f>
        <v/>
      </c>
    </row>
    <row r="244" spans="8:8" x14ac:dyDescent="1.1000000000000001">
      <c r="H244" s="24" t="str">
        <f>IF(G244="","",IFERROR(G244/Settings!$B$3,""))</f>
        <v/>
      </c>
    </row>
    <row r="245" spans="8:8" x14ac:dyDescent="1.1000000000000001">
      <c r="H245" s="24" t="str">
        <f>IF(G245="","",IFERROR(G245/Settings!$B$3,""))</f>
        <v/>
      </c>
    </row>
    <row r="246" spans="8:8" x14ac:dyDescent="1.1000000000000001">
      <c r="H246" s="24" t="str">
        <f>IF(G246="","",IFERROR(G246/Settings!$B$3,""))</f>
        <v/>
      </c>
    </row>
    <row r="247" spans="8:8" x14ac:dyDescent="1.1000000000000001">
      <c r="H247" s="24" t="str">
        <f>IF(G247="","",IFERROR(G247/Settings!$B$3,""))</f>
        <v/>
      </c>
    </row>
    <row r="248" spans="8:8" x14ac:dyDescent="1.1000000000000001">
      <c r="H248" s="24" t="str">
        <f>IF(G248="","",IFERROR(G248/Settings!$B$3,""))</f>
        <v/>
      </c>
    </row>
    <row r="249" spans="8:8" x14ac:dyDescent="1.1000000000000001">
      <c r="H249" s="24" t="str">
        <f>IF(G249="","",IFERROR(G249/Settings!$B$3,""))</f>
        <v/>
      </c>
    </row>
    <row r="250" spans="8:8" x14ac:dyDescent="1.1000000000000001">
      <c r="H250" s="24" t="str">
        <f>IF(G250="","",IFERROR(G250/Settings!$B$3,""))</f>
        <v/>
      </c>
    </row>
    <row r="251" spans="8:8" x14ac:dyDescent="1.1000000000000001">
      <c r="H251" s="24" t="str">
        <f>IF(G251="","",IFERROR(G251/Settings!$B$3,""))</f>
        <v/>
      </c>
    </row>
    <row r="252" spans="8:8" x14ac:dyDescent="1.1000000000000001">
      <c r="H252" s="24" t="str">
        <f>IF(G252="","",IFERROR(G252/Settings!$B$3,""))</f>
        <v/>
      </c>
    </row>
    <row r="253" spans="8:8" x14ac:dyDescent="1.1000000000000001">
      <c r="H253" s="24" t="str">
        <f>IF(G253="","",IFERROR(G253/Settings!$B$3,""))</f>
        <v/>
      </c>
    </row>
    <row r="254" spans="8:8" x14ac:dyDescent="1.1000000000000001">
      <c r="H254" s="24" t="str">
        <f>IF(G254="","",IFERROR(G254/Settings!$B$3,""))</f>
        <v/>
      </c>
    </row>
    <row r="255" spans="8:8" x14ac:dyDescent="1.1000000000000001">
      <c r="H255" s="24" t="str">
        <f>IF(G255="","",IFERROR(G255/Settings!$B$3,""))</f>
        <v/>
      </c>
    </row>
    <row r="256" spans="8:8" x14ac:dyDescent="1.1000000000000001">
      <c r="H256" s="24" t="str">
        <f>IF(G256="","",IFERROR(G256/Settings!$B$3,""))</f>
        <v/>
      </c>
    </row>
    <row r="257" spans="8:8" x14ac:dyDescent="1.1000000000000001">
      <c r="H257" s="24" t="str">
        <f>IF(G257="","",IFERROR(G257/Settings!$B$3,""))</f>
        <v/>
      </c>
    </row>
    <row r="258" spans="8:8" x14ac:dyDescent="1.1000000000000001">
      <c r="H258" s="24" t="str">
        <f>IF(G258="","",IFERROR(G258/Settings!$B$3,""))</f>
        <v/>
      </c>
    </row>
    <row r="259" spans="8:8" x14ac:dyDescent="1.1000000000000001">
      <c r="H259" s="24" t="str">
        <f>IF(G259="","",IFERROR(G259/Settings!$B$3,""))</f>
        <v/>
      </c>
    </row>
    <row r="260" spans="8:8" x14ac:dyDescent="1.1000000000000001">
      <c r="H260" s="24" t="str">
        <f>IF(G260="","",IFERROR(G260/Settings!$B$3,""))</f>
        <v/>
      </c>
    </row>
    <row r="261" spans="8:8" x14ac:dyDescent="1.1000000000000001">
      <c r="H261" s="24" t="str">
        <f>IF(G261="","",IFERROR(G261/Settings!$B$3,""))</f>
        <v/>
      </c>
    </row>
    <row r="262" spans="8:8" x14ac:dyDescent="1.1000000000000001">
      <c r="H262" s="24" t="str">
        <f>IF(G262="","",IFERROR(G262/Settings!$B$3,""))</f>
        <v/>
      </c>
    </row>
    <row r="263" spans="8:8" x14ac:dyDescent="1.1000000000000001">
      <c r="H263" s="24" t="str">
        <f>IF(G263="","",IFERROR(G263/Settings!$B$3,""))</f>
        <v/>
      </c>
    </row>
    <row r="264" spans="8:8" x14ac:dyDescent="1.1000000000000001">
      <c r="H264" s="24" t="str">
        <f>IF(G264="","",IFERROR(G264/Settings!$B$3,""))</f>
        <v/>
      </c>
    </row>
    <row r="265" spans="8:8" x14ac:dyDescent="1.1000000000000001">
      <c r="H265" s="24" t="str">
        <f>IF(G265="","",IFERROR(G265/Settings!$B$3,""))</f>
        <v/>
      </c>
    </row>
    <row r="266" spans="8:8" x14ac:dyDescent="1.1000000000000001">
      <c r="H266" s="24" t="str">
        <f>IF(G266="","",IFERROR(G266/Settings!$B$3,""))</f>
        <v/>
      </c>
    </row>
    <row r="267" spans="8:8" x14ac:dyDescent="1.1000000000000001">
      <c r="H267" s="24" t="str">
        <f>IF(G267="","",IFERROR(G267/Settings!$B$3,""))</f>
        <v/>
      </c>
    </row>
    <row r="268" spans="8:8" x14ac:dyDescent="1.1000000000000001">
      <c r="H268" s="24" t="str">
        <f>IF(G268="","",IFERROR(G268/Settings!$B$3,""))</f>
        <v/>
      </c>
    </row>
    <row r="269" spans="8:8" x14ac:dyDescent="1.1000000000000001">
      <c r="H269" s="24" t="str">
        <f>IF(G269="","",IFERROR(G269/Settings!$B$3,""))</f>
        <v/>
      </c>
    </row>
    <row r="270" spans="8:8" x14ac:dyDescent="1.1000000000000001">
      <c r="H270" s="24" t="str">
        <f>IF(G270="","",IFERROR(G270/Settings!$B$3,""))</f>
        <v/>
      </c>
    </row>
    <row r="271" spans="8:8" x14ac:dyDescent="1.1000000000000001">
      <c r="H271" s="24" t="str">
        <f>IF(G271="","",IFERROR(G271/Settings!$B$3,""))</f>
        <v/>
      </c>
    </row>
    <row r="272" spans="8:8" x14ac:dyDescent="1.1000000000000001">
      <c r="H272" s="24" t="str">
        <f>IF(G272="","",IFERROR(G272/Settings!$B$3,""))</f>
        <v/>
      </c>
    </row>
    <row r="273" spans="8:8" x14ac:dyDescent="1.1000000000000001">
      <c r="H273" s="24" t="str">
        <f>IF(G273="","",IFERROR(G273/Settings!$B$3,""))</f>
        <v/>
      </c>
    </row>
    <row r="274" spans="8:8" x14ac:dyDescent="1.1000000000000001">
      <c r="H274" s="24" t="str">
        <f>IF(G274="","",IFERROR(G274/Settings!$B$3,""))</f>
        <v/>
      </c>
    </row>
    <row r="275" spans="8:8" x14ac:dyDescent="1.1000000000000001">
      <c r="H275" s="24" t="str">
        <f>IF(G275="","",IFERROR(G275/Settings!$B$3,""))</f>
        <v/>
      </c>
    </row>
    <row r="276" spans="8:8" x14ac:dyDescent="1.1000000000000001">
      <c r="H276" s="24" t="str">
        <f>IF(G276="","",IFERROR(G276/Settings!$B$3,""))</f>
        <v/>
      </c>
    </row>
    <row r="277" spans="8:8" x14ac:dyDescent="1.1000000000000001">
      <c r="H277" s="24" t="str">
        <f>IF(G277="","",IFERROR(G277/Settings!$B$3,""))</f>
        <v/>
      </c>
    </row>
    <row r="278" spans="8:8" x14ac:dyDescent="1.1000000000000001">
      <c r="H278" s="24" t="str">
        <f>IF(G278="","",IFERROR(G278/Settings!$B$3,""))</f>
        <v/>
      </c>
    </row>
    <row r="279" spans="8:8" x14ac:dyDescent="1.1000000000000001">
      <c r="H279" s="24" t="str">
        <f>IF(G279="","",IFERROR(G279/Settings!$B$3,""))</f>
        <v/>
      </c>
    </row>
    <row r="280" spans="8:8" x14ac:dyDescent="1.1000000000000001">
      <c r="H280" s="24" t="str">
        <f>IF(G280="","",IFERROR(G280/Settings!$B$3,""))</f>
        <v/>
      </c>
    </row>
    <row r="281" spans="8:8" x14ac:dyDescent="1.1000000000000001">
      <c r="H281" s="24" t="str">
        <f>IF(G281="","",IFERROR(G281/Settings!$B$3,""))</f>
        <v/>
      </c>
    </row>
    <row r="282" spans="8:8" x14ac:dyDescent="1.1000000000000001">
      <c r="H282" s="24" t="str">
        <f>IF(G282="","",IFERROR(G282/Settings!$B$3,""))</f>
        <v/>
      </c>
    </row>
    <row r="283" spans="8:8" x14ac:dyDescent="1.1000000000000001">
      <c r="H283" s="24" t="str">
        <f>IF(G283="","",IFERROR(G283/Settings!$B$3,""))</f>
        <v/>
      </c>
    </row>
    <row r="284" spans="8:8" x14ac:dyDescent="1.1000000000000001">
      <c r="H284" s="24" t="str">
        <f>IF(G284="","",IFERROR(G284/Settings!$B$3,""))</f>
        <v/>
      </c>
    </row>
    <row r="285" spans="8:8" x14ac:dyDescent="1.1000000000000001">
      <c r="H285" s="24" t="str">
        <f>IF(G285="","",IFERROR(G285/Settings!$B$3,""))</f>
        <v/>
      </c>
    </row>
    <row r="286" spans="8:8" x14ac:dyDescent="1.1000000000000001">
      <c r="H286" s="24" t="str">
        <f>IF(G286="","",IFERROR(G286/Settings!$B$3,""))</f>
        <v/>
      </c>
    </row>
    <row r="287" spans="8:8" x14ac:dyDescent="1.1000000000000001">
      <c r="H287" s="24" t="str">
        <f>IF(G287="","",IFERROR(G287/Settings!$B$3,""))</f>
        <v/>
      </c>
    </row>
    <row r="288" spans="8:8" x14ac:dyDescent="1.1000000000000001">
      <c r="H288" s="24" t="str">
        <f>IF(G288="","",IFERROR(G288/Settings!$B$3,""))</f>
        <v/>
      </c>
    </row>
    <row r="289" spans="8:8" x14ac:dyDescent="1.1000000000000001">
      <c r="H289" s="24" t="str">
        <f>IF(G289="","",IFERROR(G289/Settings!$B$3,""))</f>
        <v/>
      </c>
    </row>
    <row r="290" spans="8:8" x14ac:dyDescent="1.1000000000000001">
      <c r="H290" s="24" t="str">
        <f>IF(G290="","",IFERROR(G290/Settings!$B$3,""))</f>
        <v/>
      </c>
    </row>
    <row r="291" spans="8:8" x14ac:dyDescent="1.1000000000000001">
      <c r="H291" s="24" t="str">
        <f>IF(G291="","",IFERROR(G291/Settings!$B$3,""))</f>
        <v/>
      </c>
    </row>
    <row r="292" spans="8:8" x14ac:dyDescent="1.1000000000000001">
      <c r="H292" s="24" t="str">
        <f>IF(G292="","",IFERROR(G292/Settings!$B$3,""))</f>
        <v/>
      </c>
    </row>
    <row r="293" spans="8:8" x14ac:dyDescent="1.1000000000000001">
      <c r="H293" s="24" t="str">
        <f>IF(G293="","",IFERROR(G293/Settings!$B$3,""))</f>
        <v/>
      </c>
    </row>
    <row r="294" spans="8:8" x14ac:dyDescent="1.1000000000000001">
      <c r="H294" s="24" t="str">
        <f>IF(G294="","",IFERROR(G294/Settings!$B$3,""))</f>
        <v/>
      </c>
    </row>
    <row r="295" spans="8:8" x14ac:dyDescent="1.1000000000000001">
      <c r="H295" s="24" t="str">
        <f>IF(G295="","",IFERROR(G295/Settings!$B$3,""))</f>
        <v/>
      </c>
    </row>
    <row r="296" spans="8:8" x14ac:dyDescent="1.1000000000000001">
      <c r="H296" s="24" t="str">
        <f>IF(G296="","",IFERROR(G296/Settings!$B$3,""))</f>
        <v/>
      </c>
    </row>
    <row r="297" spans="8:8" x14ac:dyDescent="1.1000000000000001">
      <c r="H297" s="24" t="str">
        <f>IF(G297="","",IFERROR(G297/Settings!$B$3,""))</f>
        <v/>
      </c>
    </row>
    <row r="298" spans="8:8" x14ac:dyDescent="1.1000000000000001">
      <c r="H298" s="24" t="str">
        <f>IF(G298="","",IFERROR(G298/Settings!$B$3,""))</f>
        <v/>
      </c>
    </row>
    <row r="299" spans="8:8" x14ac:dyDescent="1.1000000000000001">
      <c r="H299" s="24" t="str">
        <f>IF(G299="","",IFERROR(G299/Settings!$B$3,""))</f>
        <v/>
      </c>
    </row>
    <row r="300" spans="8:8" x14ac:dyDescent="1.1000000000000001">
      <c r="H300" s="24" t="str">
        <f>IF(G300="","",IFERROR(G300/Settings!$B$3,""))</f>
        <v/>
      </c>
    </row>
    <row r="301" spans="8:8" x14ac:dyDescent="1.1000000000000001">
      <c r="H301" s="24" t="str">
        <f>IF(G301="","",IFERROR(G301/Settings!$B$3,""))</f>
        <v/>
      </c>
    </row>
    <row r="302" spans="8:8" x14ac:dyDescent="1.1000000000000001">
      <c r="H302" s="24" t="str">
        <f>IF(G302="","",IFERROR(G302/Settings!$B$3,""))</f>
        <v/>
      </c>
    </row>
    <row r="303" spans="8:8" x14ac:dyDescent="1.1000000000000001">
      <c r="H303" s="24" t="str">
        <f>IF(G303="","",IFERROR(G303/Settings!$B$3,""))</f>
        <v/>
      </c>
    </row>
    <row r="304" spans="8:8" x14ac:dyDescent="1.1000000000000001">
      <c r="H304" s="24" t="str">
        <f>IF(G304="","",IFERROR(G304/Settings!$B$3,""))</f>
        <v/>
      </c>
    </row>
    <row r="305" spans="8:8" x14ac:dyDescent="1.1000000000000001">
      <c r="H305" s="24" t="str">
        <f>IF(G305="","",IFERROR(G305/Settings!$B$3,""))</f>
        <v/>
      </c>
    </row>
    <row r="306" spans="8:8" x14ac:dyDescent="1.1000000000000001">
      <c r="H306" s="24" t="str">
        <f>IF(G306="","",IFERROR(G306/Settings!$B$3,""))</f>
        <v/>
      </c>
    </row>
    <row r="307" spans="8:8" x14ac:dyDescent="1.1000000000000001">
      <c r="H307" s="24" t="str">
        <f>IF(G307="","",IFERROR(G307/Settings!$B$3,""))</f>
        <v/>
      </c>
    </row>
    <row r="308" spans="8:8" x14ac:dyDescent="1.1000000000000001">
      <c r="H308" s="24" t="str">
        <f>IF(G308="","",IFERROR(G308/Settings!$B$3,""))</f>
        <v/>
      </c>
    </row>
    <row r="309" spans="8:8" x14ac:dyDescent="1.1000000000000001">
      <c r="H309" s="24" t="str">
        <f>IF(G309="","",IFERROR(G309/Settings!$B$3,""))</f>
        <v/>
      </c>
    </row>
    <row r="310" spans="8:8" x14ac:dyDescent="1.1000000000000001">
      <c r="H310" s="24" t="str">
        <f>IF(G310="","",IFERROR(G310/Settings!$B$3,""))</f>
        <v/>
      </c>
    </row>
    <row r="311" spans="8:8" x14ac:dyDescent="1.1000000000000001">
      <c r="H311" s="24" t="str">
        <f>IF(G311="","",IFERROR(G311/Settings!$B$3,""))</f>
        <v/>
      </c>
    </row>
    <row r="312" spans="8:8" x14ac:dyDescent="1.1000000000000001">
      <c r="H312" s="24" t="str">
        <f>IF(G312="","",IFERROR(G312/Settings!$B$3,""))</f>
        <v/>
      </c>
    </row>
    <row r="313" spans="8:8" x14ac:dyDescent="1.1000000000000001">
      <c r="H313" s="24" t="str">
        <f>IF(G313="","",IFERROR(G313/Settings!$B$3,""))</f>
        <v/>
      </c>
    </row>
    <row r="314" spans="8:8" x14ac:dyDescent="1.1000000000000001">
      <c r="H314" s="24" t="str">
        <f>IF(G314="","",IFERROR(G314/Settings!$B$3,""))</f>
        <v/>
      </c>
    </row>
    <row r="315" spans="8:8" x14ac:dyDescent="1.1000000000000001">
      <c r="H315" s="24" t="str">
        <f>IF(G315="","",IFERROR(G315/Settings!$B$3,""))</f>
        <v/>
      </c>
    </row>
    <row r="316" spans="8:8" x14ac:dyDescent="1.1000000000000001">
      <c r="H316" s="24" t="str">
        <f>IF(G316="","",IFERROR(G316/Settings!$B$3,""))</f>
        <v/>
      </c>
    </row>
    <row r="317" spans="8:8" x14ac:dyDescent="1.1000000000000001">
      <c r="H317" s="24" t="str">
        <f>IF(G317="","",IFERROR(G317/Settings!$B$3,""))</f>
        <v/>
      </c>
    </row>
    <row r="318" spans="8:8" x14ac:dyDescent="1.1000000000000001">
      <c r="H318" s="24" t="str">
        <f>IF(G318="","",IFERROR(G318/Settings!$B$3,""))</f>
        <v/>
      </c>
    </row>
    <row r="319" spans="8:8" x14ac:dyDescent="1.1000000000000001">
      <c r="H319" s="24" t="str">
        <f>IF(G319="","",IFERROR(G319/Settings!$B$3,""))</f>
        <v/>
      </c>
    </row>
    <row r="320" spans="8:8" x14ac:dyDescent="1.1000000000000001">
      <c r="H320" s="24" t="str">
        <f>IF(G320="","",IFERROR(G320/Settings!$B$3,""))</f>
        <v/>
      </c>
    </row>
    <row r="321" spans="8:8" x14ac:dyDescent="1.1000000000000001">
      <c r="H321" s="24" t="str">
        <f>IF(G321="","",IFERROR(G321/Settings!$B$3,""))</f>
        <v/>
      </c>
    </row>
    <row r="322" spans="8:8" x14ac:dyDescent="1.1000000000000001">
      <c r="H322" s="24" t="str">
        <f>IF(G322="","",IFERROR(G322/Settings!$B$3,""))</f>
        <v/>
      </c>
    </row>
    <row r="323" spans="8:8" x14ac:dyDescent="1.1000000000000001">
      <c r="H323" s="24" t="str">
        <f>IF(G323="","",IFERROR(G323/Settings!$B$3,""))</f>
        <v/>
      </c>
    </row>
    <row r="324" spans="8:8" x14ac:dyDescent="1.1000000000000001">
      <c r="H324" s="24" t="str">
        <f>IF(G324="","",IFERROR(G324/Settings!$B$3,""))</f>
        <v/>
      </c>
    </row>
    <row r="325" spans="8:8" x14ac:dyDescent="1.1000000000000001">
      <c r="H325" s="24" t="str">
        <f>IF(G325="","",IFERROR(G325/Settings!$B$3,""))</f>
        <v/>
      </c>
    </row>
    <row r="326" spans="8:8" x14ac:dyDescent="1.1000000000000001">
      <c r="H326" s="24" t="str">
        <f>IF(G326="","",IFERROR(G326/Settings!$B$3,""))</f>
        <v/>
      </c>
    </row>
    <row r="327" spans="8:8" x14ac:dyDescent="1.1000000000000001">
      <c r="H327" s="24" t="str">
        <f>IF(G327="","",IFERROR(G327/Settings!$B$3,""))</f>
        <v/>
      </c>
    </row>
    <row r="328" spans="8:8" x14ac:dyDescent="1.1000000000000001">
      <c r="H328" s="24" t="str">
        <f>IF(G328="","",IFERROR(G328/Settings!$B$3,""))</f>
        <v/>
      </c>
    </row>
    <row r="329" spans="8:8" x14ac:dyDescent="1.1000000000000001">
      <c r="H329" s="24" t="str">
        <f>IF(G329="","",IFERROR(G329/Settings!$B$3,""))</f>
        <v/>
      </c>
    </row>
    <row r="330" spans="8:8" x14ac:dyDescent="1.1000000000000001">
      <c r="H330" s="24" t="str">
        <f>IF(G330="","",IFERROR(G330/Settings!$B$3,""))</f>
        <v/>
      </c>
    </row>
    <row r="331" spans="8:8" x14ac:dyDescent="1.1000000000000001">
      <c r="H331" s="24" t="str">
        <f>IF(G331="","",IFERROR(G331/Settings!$B$3,""))</f>
        <v/>
      </c>
    </row>
    <row r="332" spans="8:8" x14ac:dyDescent="1.1000000000000001">
      <c r="H332" s="24" t="str">
        <f>IF(G332="","",IFERROR(G332/Settings!$B$3,""))</f>
        <v/>
      </c>
    </row>
    <row r="333" spans="8:8" x14ac:dyDescent="1.1000000000000001">
      <c r="H333" s="24" t="str">
        <f>IF(G333="","",IFERROR(G333/Settings!$B$3,""))</f>
        <v/>
      </c>
    </row>
    <row r="334" spans="8:8" x14ac:dyDescent="1.1000000000000001">
      <c r="H334" s="24" t="str">
        <f>IF(G334="","",IFERROR(G334/Settings!$B$3,""))</f>
        <v/>
      </c>
    </row>
    <row r="335" spans="8:8" x14ac:dyDescent="1.1000000000000001">
      <c r="H335" s="24" t="str">
        <f>IF(G335="","",IFERROR(G335/Settings!$B$3,""))</f>
        <v/>
      </c>
    </row>
    <row r="336" spans="8:8" x14ac:dyDescent="1.1000000000000001">
      <c r="H336" s="24" t="str">
        <f>IF(G336="","",IFERROR(G336/Settings!$B$3,""))</f>
        <v/>
      </c>
    </row>
    <row r="337" spans="8:8" x14ac:dyDescent="1.1000000000000001">
      <c r="H337" s="24" t="str">
        <f>IF(G337="","",IFERROR(G337/Settings!$B$3,""))</f>
        <v/>
      </c>
    </row>
    <row r="338" spans="8:8" x14ac:dyDescent="1.1000000000000001">
      <c r="H338" s="24" t="str">
        <f>IF(G338="","",IFERROR(G338/Settings!$B$3,""))</f>
        <v/>
      </c>
    </row>
    <row r="339" spans="8:8" x14ac:dyDescent="1.1000000000000001">
      <c r="H339" s="24" t="str">
        <f>IF(G339="","",IFERROR(G339/Settings!$B$3,""))</f>
        <v/>
      </c>
    </row>
    <row r="340" spans="8:8" x14ac:dyDescent="1.1000000000000001">
      <c r="H340" s="24" t="str">
        <f>IF(G340="","",IFERROR(G340/Settings!$B$3,""))</f>
        <v/>
      </c>
    </row>
    <row r="341" spans="8:8" x14ac:dyDescent="1.1000000000000001">
      <c r="H341" s="24" t="str">
        <f>IF(G341="","",IFERROR(G341/Settings!$B$3,""))</f>
        <v/>
      </c>
    </row>
    <row r="342" spans="8:8" x14ac:dyDescent="1.1000000000000001">
      <c r="H342" s="24" t="str">
        <f>IF(G342="","",IFERROR(G342/Settings!$B$3,""))</f>
        <v/>
      </c>
    </row>
    <row r="343" spans="8:8" x14ac:dyDescent="1.1000000000000001">
      <c r="H343" s="24" t="str">
        <f>IF(G343="","",IFERROR(G343/Settings!$B$3,""))</f>
        <v/>
      </c>
    </row>
    <row r="344" spans="8:8" x14ac:dyDescent="1.1000000000000001">
      <c r="H344" s="24" t="str">
        <f>IF(G344="","",IFERROR(G344/Settings!$B$3,""))</f>
        <v/>
      </c>
    </row>
    <row r="345" spans="8:8" x14ac:dyDescent="1.1000000000000001">
      <c r="H345" s="24" t="str">
        <f>IF(G345="","",IFERROR(G345/Settings!$B$3,""))</f>
        <v/>
      </c>
    </row>
    <row r="346" spans="8:8" x14ac:dyDescent="1.1000000000000001">
      <c r="H346" s="24" t="str">
        <f>IF(G346="","",IFERROR(G346/Settings!$B$3,""))</f>
        <v/>
      </c>
    </row>
    <row r="347" spans="8:8" x14ac:dyDescent="1.1000000000000001">
      <c r="H347" s="24" t="str">
        <f>IF(G347="","",IFERROR(G347/Settings!$B$3,""))</f>
        <v/>
      </c>
    </row>
    <row r="348" spans="8:8" x14ac:dyDescent="1.1000000000000001">
      <c r="H348" s="24" t="str">
        <f>IF(G348="","",IFERROR(G348/Settings!$B$3,""))</f>
        <v/>
      </c>
    </row>
    <row r="349" spans="8:8" x14ac:dyDescent="1.1000000000000001">
      <c r="H349" s="24" t="str">
        <f>IF(G349="","",IFERROR(G349/Settings!$B$3,""))</f>
        <v/>
      </c>
    </row>
    <row r="350" spans="8:8" x14ac:dyDescent="1.1000000000000001">
      <c r="H350" s="24" t="str">
        <f>IF(G350="","",IFERROR(G350/Settings!$B$3,""))</f>
        <v/>
      </c>
    </row>
    <row r="351" spans="8:8" x14ac:dyDescent="1.1000000000000001">
      <c r="H351" s="24" t="str">
        <f>IF(G351="","",IFERROR(G351/Settings!$B$3,""))</f>
        <v/>
      </c>
    </row>
    <row r="352" spans="8:8" x14ac:dyDescent="1.1000000000000001">
      <c r="H352" s="24" t="str">
        <f>IF(G352="","",IFERROR(G352/Settings!$B$3,""))</f>
        <v/>
      </c>
    </row>
    <row r="353" spans="8:8" x14ac:dyDescent="1.1000000000000001">
      <c r="H353" s="24" t="str">
        <f>IF(G353="","",IFERROR(G353/Settings!$B$3,""))</f>
        <v/>
      </c>
    </row>
    <row r="354" spans="8:8" x14ac:dyDescent="1.1000000000000001">
      <c r="H354" s="24" t="str">
        <f>IF(G354="","",IFERROR(G354/Settings!$B$3,""))</f>
        <v/>
      </c>
    </row>
    <row r="355" spans="8:8" x14ac:dyDescent="1.1000000000000001">
      <c r="H355" s="24" t="str">
        <f>IF(G355="","",IFERROR(G355/Settings!$B$3,""))</f>
        <v/>
      </c>
    </row>
    <row r="356" spans="8:8" x14ac:dyDescent="1.1000000000000001">
      <c r="H356" s="24" t="str">
        <f>IF(G356="","",IFERROR(G356/Settings!$B$3,""))</f>
        <v/>
      </c>
    </row>
    <row r="357" spans="8:8" x14ac:dyDescent="1.1000000000000001">
      <c r="H357" s="24" t="str">
        <f>IF(G357="","",IFERROR(G357/Settings!$B$3,""))</f>
        <v/>
      </c>
    </row>
    <row r="358" spans="8:8" x14ac:dyDescent="1.1000000000000001">
      <c r="H358" s="24" t="str">
        <f>IF(G358="","",IFERROR(G358/Settings!$B$3,""))</f>
        <v/>
      </c>
    </row>
    <row r="359" spans="8:8" x14ac:dyDescent="1.1000000000000001">
      <c r="H359" s="24" t="str">
        <f>IF(G359="","",IFERROR(G359/Settings!$B$3,""))</f>
        <v/>
      </c>
    </row>
    <row r="360" spans="8:8" x14ac:dyDescent="1.1000000000000001">
      <c r="H360" s="24" t="str">
        <f>IF(G360="","",IFERROR(G360/Settings!$B$3,""))</f>
        <v/>
      </c>
    </row>
    <row r="361" spans="8:8" x14ac:dyDescent="1.1000000000000001">
      <c r="H361" s="24" t="str">
        <f>IF(G361="","",IFERROR(G361/Settings!$B$3,""))</f>
        <v/>
      </c>
    </row>
    <row r="362" spans="8:8" x14ac:dyDescent="1.1000000000000001">
      <c r="H362" s="24" t="str">
        <f>IF(G362="","",IFERROR(G362/Settings!$B$3,""))</f>
        <v/>
      </c>
    </row>
    <row r="363" spans="8:8" x14ac:dyDescent="1.1000000000000001">
      <c r="H363" s="24" t="str">
        <f>IF(G363="","",IFERROR(G363/Settings!$B$3,""))</f>
        <v/>
      </c>
    </row>
    <row r="364" spans="8:8" x14ac:dyDescent="1.1000000000000001">
      <c r="H364" s="24" t="str">
        <f>IF(G364="","",IFERROR(G364/Settings!$B$3,""))</f>
        <v/>
      </c>
    </row>
    <row r="365" spans="8:8" x14ac:dyDescent="1.1000000000000001">
      <c r="H365" s="24" t="str">
        <f>IF(G365="","",IFERROR(G365/Settings!$B$3,""))</f>
        <v/>
      </c>
    </row>
    <row r="366" spans="8:8" x14ac:dyDescent="1.1000000000000001">
      <c r="H366" s="24" t="str">
        <f>IF(G366="","",IFERROR(G366/Settings!$B$3,""))</f>
        <v/>
      </c>
    </row>
    <row r="367" spans="8:8" x14ac:dyDescent="1.1000000000000001">
      <c r="H367" s="24" t="str">
        <f>IF(G367="","",IFERROR(G367/Settings!$B$3,""))</f>
        <v/>
      </c>
    </row>
    <row r="368" spans="8:8" x14ac:dyDescent="1.1000000000000001">
      <c r="H368" s="24" t="str">
        <f>IF(G368="","",IFERROR(G368/Settings!$B$3,""))</f>
        <v/>
      </c>
    </row>
    <row r="369" spans="8:8" x14ac:dyDescent="1.1000000000000001">
      <c r="H369" s="24" t="str">
        <f>IF(G369="","",IFERROR(G369/Settings!$B$3,""))</f>
        <v/>
      </c>
    </row>
    <row r="370" spans="8:8" x14ac:dyDescent="1.1000000000000001">
      <c r="H370" s="24" t="str">
        <f>IF(G370="","",IFERROR(G370/Settings!$B$3,""))</f>
        <v/>
      </c>
    </row>
    <row r="371" spans="8:8" x14ac:dyDescent="1.1000000000000001">
      <c r="H371" s="24" t="str">
        <f>IF(G371="","",IFERROR(G371/Settings!$B$3,""))</f>
        <v/>
      </c>
    </row>
    <row r="372" spans="8:8" x14ac:dyDescent="1.1000000000000001">
      <c r="H372" s="24" t="str">
        <f>IF(G372="","",IFERROR(G372/Settings!$B$3,""))</f>
        <v/>
      </c>
    </row>
    <row r="373" spans="8:8" x14ac:dyDescent="1.1000000000000001">
      <c r="H373" s="24" t="str">
        <f>IF(G373="","",IFERROR(G373/Settings!$B$3,""))</f>
        <v/>
      </c>
    </row>
    <row r="374" spans="8:8" x14ac:dyDescent="1.1000000000000001">
      <c r="H374" s="24" t="str">
        <f>IF(G374="","",IFERROR(G374/Settings!$B$3,""))</f>
        <v/>
      </c>
    </row>
    <row r="375" spans="8:8" x14ac:dyDescent="1.1000000000000001">
      <c r="H375" s="24" t="str">
        <f>IF(G375="","",IFERROR(G375/Settings!$B$3,""))</f>
        <v/>
      </c>
    </row>
    <row r="376" spans="8:8" x14ac:dyDescent="1.1000000000000001">
      <c r="H376" s="24" t="str">
        <f>IF(G376="","",IFERROR(G376/Settings!$B$3,""))</f>
        <v/>
      </c>
    </row>
    <row r="377" spans="8:8" x14ac:dyDescent="1.1000000000000001">
      <c r="H377" s="24" t="str">
        <f>IF(G377="","",IFERROR(G377/Settings!$B$3,""))</f>
        <v/>
      </c>
    </row>
    <row r="378" spans="8:8" x14ac:dyDescent="1.1000000000000001">
      <c r="H378" s="24" t="str">
        <f>IF(G378="","",IFERROR(G378/Settings!$B$3,""))</f>
        <v/>
      </c>
    </row>
  </sheetData>
  <mergeCells count="6">
    <mergeCell ref="A195:A197"/>
    <mergeCell ref="U1:V1"/>
    <mergeCell ref="A2:U2"/>
    <mergeCell ref="A6:A16"/>
    <mergeCell ref="A27:A191"/>
    <mergeCell ref="A17:A24"/>
  </mergeCells>
  <phoneticPr fontId="25" type="noConversion"/>
  <dataValidations count="6">
    <dataValidation type="list" showErrorMessage="1" sqref="I4:I192 I195:I1178" xr:uid="{00000000-0002-0000-0100-000000000000}">
      <formula1>"Email,Referral,Exhibition,ITEC,Eximpedia"</formula1>
      <formula2>0</formula2>
    </dataValidation>
    <dataValidation type="list" showErrorMessage="1" sqref="K4:K194 K198:K1178" xr:uid="{00000000-0002-0000-0100-000002000000}">
      <formula1>"Qualification,Proposal,Negotiating,Closed - Won,Closed - Lost"</formula1>
      <formula2>0</formula2>
    </dataValidation>
    <dataValidation type="list" showErrorMessage="1" sqref="I193:I194" xr:uid="{8C4D38DA-DCEF-4241-814F-77C09D455C92}">
      <formula1>"Email,Referral,Exhibition,ITEC,Eximpedia,Visit"</formula1>
    </dataValidation>
    <dataValidation type="list" showErrorMessage="1" sqref="K195:K197" xr:uid="{F62F1F66-5F39-4131-B4D9-EC7E3E7C7F38}">
      <formula1>"MOU Signed,Proposal,Negotiating,Closed - Won,Closed - Lost"</formula1>
    </dataValidation>
    <dataValidation type="list" showErrorMessage="1" sqref="J4:J1178" xr:uid="{00000000-0002-0000-0100-000001000000}">
      <formula1>"Reply to be Given,No Reply,Interested,Not Interested,Negotiating"</formula1>
      <formula2>0</formula2>
    </dataValidation>
    <dataValidation type="list" showErrorMessage="1" sqref="F4:F1178" xr:uid="{00000000-0002-0000-0100-000003000000}">
      <formula1>"Product Supply,Phased Collaboration,TOT and Manufacturing"</formula1>
      <formula2>0</formula2>
    </dataValidation>
  </dataValidations>
  <hyperlinks>
    <hyperlink ref="K5" r:id="rId1" xr:uid="{00000000-0004-0000-0100-000000000000}"/>
    <hyperlink ref="K17" r:id="rId2" display="Proposal" xr:uid="{00000000-0004-0000-0100-000001000000}"/>
    <hyperlink ref="K25" r:id="rId3" xr:uid="{00000000-0004-0000-0100-000002000000}"/>
    <hyperlink ref="K192" r:id="rId4" xr:uid="{00000000-0004-0000-0100-000003000000}"/>
    <hyperlink ref="L193" r:id="rId5" xr:uid="{C6601414-4F37-49B5-BF00-18EC1A52BD54}"/>
    <hyperlink ref="L194" r:id="rId6" xr:uid="{7D26CFAA-3B33-477F-83B9-1EB0502F35B6}"/>
    <hyperlink ref="K18" r:id="rId7" display="Proposal" xr:uid="{A8351F6B-1005-464E-8F6F-7144F75612AB}"/>
    <hyperlink ref="K19" r:id="rId8" display="Proposal" xr:uid="{CBC53821-4A75-42C1-8936-6E28AF1BC3D1}"/>
    <hyperlink ref="K20" r:id="rId9" display="Proposal" xr:uid="{6CE5A6CE-7EBE-4624-9A29-F924ACB96126}"/>
    <hyperlink ref="K21" r:id="rId10" display="Proposal" xr:uid="{67BF7EC0-3411-4B37-8EA3-6C427C4B6C04}"/>
    <hyperlink ref="K22" r:id="rId11" display="Proposal" xr:uid="{13E3328F-24B1-4420-A82F-5B9438AAAB15}"/>
    <hyperlink ref="K23" r:id="rId12" display="Proposal" xr:uid="{3EE550A0-71C0-410D-B7D7-784DBCA803F8}"/>
    <hyperlink ref="K24" r:id="rId13" display="Proposal" xr:uid="{4C7E639E-CDF4-47C0-9BF8-86E7B707CED0}"/>
  </hyperlinks>
  <pageMargins left="0.75" right="0.75" top="1" bottom="1" header="0.511811023622047" footer="0.511811023622047"/>
  <pageSetup paperSize="9" orientation="portrait" horizontalDpi="300" verticalDpi="300"/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5871A"/>
  </sheetPr>
  <dimension ref="A1:K92"/>
  <sheetViews>
    <sheetView showGridLines="0" zoomScale="37" zoomScaleNormal="37" workbookViewId="0">
      <selection activeCell="N75" sqref="N75"/>
    </sheetView>
  </sheetViews>
  <sheetFormatPr defaultColWidth="8.6328125" defaultRowHeight="14.5" x14ac:dyDescent="0.35"/>
  <cols>
    <col min="1" max="1" width="2" customWidth="1"/>
    <col min="2" max="2" width="24" customWidth="1"/>
    <col min="3" max="3" width="13" customWidth="1"/>
    <col min="4" max="4" width="20" customWidth="1"/>
    <col min="5" max="5" width="22" customWidth="1"/>
    <col min="6" max="6" width="15" customWidth="1"/>
    <col min="7" max="7" width="18" customWidth="1"/>
    <col min="8" max="8" width="24" customWidth="1"/>
    <col min="9" max="10" width="18" customWidth="1"/>
    <col min="11" max="11" width="2" customWidth="1"/>
  </cols>
  <sheetData>
    <row r="1" spans="1:11" ht="60" customHeight="1" x14ac:dyDescent="0.35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21.75" customHeight="1" x14ac:dyDescent="0.35">
      <c r="A2" s="56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</row>
    <row r="3" spans="1:11" ht="7.5" customHeight="1" x14ac:dyDescent="0.35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1:11" ht="30" customHeight="1" x14ac:dyDescent="0.35">
      <c r="A4" s="58" t="s">
        <v>2</v>
      </c>
      <c r="B4" s="58"/>
      <c r="C4" s="58"/>
      <c r="D4" s="58"/>
      <c r="E4" s="58"/>
      <c r="F4" s="58"/>
      <c r="G4" s="58"/>
      <c r="H4" s="58"/>
      <c r="I4" s="58"/>
      <c r="J4" s="58"/>
      <c r="K4" s="58"/>
    </row>
    <row r="5" spans="1:11" ht="7.5" customHeight="1" x14ac:dyDescent="0.35">
      <c r="A5" s="59"/>
      <c r="B5" s="59"/>
      <c r="C5" s="59"/>
      <c r="D5" s="59"/>
      <c r="E5" s="59"/>
      <c r="F5" s="59"/>
      <c r="G5" s="59"/>
      <c r="H5" s="59"/>
      <c r="I5" s="59"/>
      <c r="J5" s="59"/>
      <c r="K5" s="59"/>
    </row>
    <row r="6" spans="1:11" ht="25.5" customHeight="1" x14ac:dyDescent="0.35">
      <c r="A6" s="1"/>
      <c r="B6" s="60" t="s">
        <v>3</v>
      </c>
      <c r="C6" s="60"/>
      <c r="D6" s="61" t="s">
        <v>4</v>
      </c>
      <c r="E6" s="61"/>
      <c r="G6" s="62">
        <v>62458200</v>
      </c>
      <c r="H6" s="62"/>
      <c r="I6" s="63" t="s">
        <v>5</v>
      </c>
      <c r="J6" s="63"/>
    </row>
    <row r="7" spans="1:11" ht="25.5" customHeight="1" x14ac:dyDescent="0.35">
      <c r="A7" s="1"/>
      <c r="B7" s="64">
        <f>COUNTA('Leads Data'!B4:B1178)</f>
        <v>193</v>
      </c>
      <c r="C7" s="64"/>
      <c r="D7" s="65">
        <f>COUNTIF('Leads Data'!J:J,"Interested")+COUNTIF('Leads Data'!J:J,"Negotiating")</f>
        <v>15</v>
      </c>
      <c r="E7" s="65"/>
      <c r="G7" s="66">
        <v>45000</v>
      </c>
      <c r="H7" s="66"/>
      <c r="I7" s="67">
        <f>COUNTIF('Leads Data'!J:J,"Reply to be Given")</f>
        <v>168</v>
      </c>
      <c r="J7" s="67"/>
    </row>
    <row r="8" spans="1:11" ht="25.5" customHeight="1" x14ac:dyDescent="0.35">
      <c r="A8" s="1"/>
      <c r="B8" s="64"/>
      <c r="C8" s="64"/>
      <c r="D8" s="65"/>
      <c r="E8" s="65"/>
      <c r="G8" s="66"/>
      <c r="H8" s="66"/>
      <c r="I8" s="67"/>
      <c r="J8" s="67"/>
    </row>
    <row r="9" spans="1:11" ht="25.5" customHeight="1" x14ac:dyDescent="0.35">
      <c r="A9" s="1"/>
      <c r="B9" s="64"/>
      <c r="C9" s="64"/>
      <c r="D9" s="65"/>
      <c r="E9" s="65"/>
      <c r="G9" s="66"/>
      <c r="H9" s="66"/>
      <c r="I9" s="67"/>
      <c r="J9" s="67"/>
    </row>
    <row r="10" spans="1:11" ht="25.5" customHeight="1" x14ac:dyDescent="0.35">
      <c r="A10" s="1"/>
      <c r="B10" s="68"/>
      <c r="C10" s="68"/>
      <c r="D10" s="69"/>
      <c r="E10" s="69"/>
      <c r="G10" s="70"/>
      <c r="H10" s="70"/>
      <c r="I10" s="71"/>
      <c r="J10" s="71"/>
    </row>
    <row r="11" spans="1:11" ht="7.5" customHeight="1" x14ac:dyDescent="0.35">
      <c r="A11" s="59"/>
      <c r="B11" s="59"/>
      <c r="C11" s="59"/>
      <c r="D11" s="59"/>
      <c r="E11" s="59"/>
      <c r="F11" s="59"/>
      <c r="G11" s="59"/>
      <c r="H11" s="59"/>
      <c r="I11" s="59"/>
      <c r="J11" s="59"/>
      <c r="K11" s="59"/>
    </row>
    <row r="12" spans="1:11" ht="30" customHeight="1" x14ac:dyDescent="0.35">
      <c r="A12" s="72" t="s">
        <v>6</v>
      </c>
      <c r="B12" s="72"/>
      <c r="C12" s="72"/>
      <c r="D12" s="72"/>
      <c r="E12" s="72"/>
      <c r="F12" s="73" t="s">
        <v>7</v>
      </c>
      <c r="G12" s="73"/>
      <c r="H12" s="73"/>
      <c r="I12" s="73"/>
      <c r="J12" s="73"/>
      <c r="K12" s="73"/>
    </row>
    <row r="13" spans="1:11" ht="15" customHeight="1" x14ac:dyDescent="0.35">
      <c r="A13" s="74"/>
      <c r="B13" s="74"/>
      <c r="C13" s="74"/>
      <c r="D13" s="74"/>
      <c r="E13" s="74"/>
      <c r="F13" s="74"/>
      <c r="G13" s="74"/>
      <c r="H13" s="74"/>
      <c r="I13" s="74"/>
      <c r="J13" s="74"/>
      <c r="K13" s="74"/>
    </row>
    <row r="14" spans="1:11" ht="15" customHeight="1" x14ac:dyDescent="0.35">
      <c r="A14" s="74"/>
      <c r="B14" s="74"/>
      <c r="C14" s="74"/>
      <c r="D14" s="74"/>
      <c r="E14" s="74"/>
      <c r="F14" s="74"/>
      <c r="G14" s="74"/>
      <c r="H14" s="74"/>
      <c r="I14" s="74"/>
      <c r="J14" s="74"/>
      <c r="K14" s="74"/>
    </row>
    <row r="15" spans="1:11" ht="15" customHeight="1" x14ac:dyDescent="0.35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</row>
    <row r="16" spans="1:11" ht="15" customHeight="1" x14ac:dyDescent="0.35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</row>
    <row r="17" spans="1:11" ht="15" customHeight="1" x14ac:dyDescent="0.35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</row>
    <row r="18" spans="1:11" ht="15" customHeight="1" x14ac:dyDescent="0.35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</row>
    <row r="19" spans="1:11" ht="15" customHeight="1" x14ac:dyDescent="0.35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spans="1:11" ht="15" customHeight="1" x14ac:dyDescent="0.35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spans="1:11" ht="15" customHeight="1" x14ac:dyDescent="0.35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spans="1:11" ht="15" customHeight="1" x14ac:dyDescent="0.35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spans="1:11" ht="15" customHeight="1" x14ac:dyDescent="0.35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</row>
    <row r="24" spans="1:11" ht="15" customHeight="1" x14ac:dyDescent="0.35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</row>
    <row r="25" spans="1:11" ht="15" customHeight="1" x14ac:dyDescent="0.35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</row>
    <row r="26" spans="1:11" ht="15" customHeight="1" x14ac:dyDescent="0.35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</row>
    <row r="27" spans="1:11" ht="15" customHeight="1" x14ac:dyDescent="0.35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</row>
    <row r="28" spans="1:11" ht="15" customHeight="1" x14ac:dyDescent="0.35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</row>
    <row r="29" spans="1:11" ht="15" customHeight="1" x14ac:dyDescent="0.35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</row>
    <row r="30" spans="1:11" ht="15" customHeight="1" x14ac:dyDescent="0.35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</row>
    <row r="31" spans="1:11" ht="15" customHeight="1" x14ac:dyDescent="0.35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</row>
    <row r="32" spans="1:11" ht="15" customHeight="1" x14ac:dyDescent="0.35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</row>
    <row r="33" spans="1:11" ht="7.5" customHeight="1" x14ac:dyDescent="0.35">
      <c r="A33" s="1"/>
    </row>
    <row r="34" spans="1:11" ht="30" customHeight="1" x14ac:dyDescent="0.35">
      <c r="A34" s="72" t="s">
        <v>8</v>
      </c>
      <c r="B34" s="72"/>
      <c r="C34" s="72"/>
      <c r="D34" s="72"/>
      <c r="E34" s="72"/>
      <c r="F34" s="73" t="s">
        <v>9</v>
      </c>
      <c r="G34" s="73"/>
      <c r="H34" s="73"/>
      <c r="I34" s="73"/>
      <c r="J34" s="73"/>
      <c r="K34" s="73"/>
    </row>
    <row r="35" spans="1:11" ht="15" customHeight="1" x14ac:dyDescent="0.35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</row>
    <row r="36" spans="1:11" ht="15" customHeight="1" x14ac:dyDescent="0.35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</row>
    <row r="37" spans="1:11" ht="15" customHeight="1" x14ac:dyDescent="0.35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</row>
    <row r="38" spans="1:11" ht="15" customHeight="1" x14ac:dyDescent="0.35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</row>
    <row r="39" spans="1:11" ht="15" customHeight="1" x14ac:dyDescent="0.35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</row>
    <row r="40" spans="1:11" ht="15" customHeight="1" x14ac:dyDescent="0.35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</row>
    <row r="41" spans="1:11" ht="15" customHeight="1" x14ac:dyDescent="0.35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</row>
    <row r="42" spans="1:11" ht="15" customHeight="1" x14ac:dyDescent="0.35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</row>
    <row r="43" spans="1:11" ht="15" customHeight="1" x14ac:dyDescent="0.35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</row>
    <row r="44" spans="1:11" ht="15" customHeight="1" x14ac:dyDescent="0.35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</row>
    <row r="45" spans="1:11" ht="15" customHeight="1" x14ac:dyDescent="0.35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</row>
    <row r="46" spans="1:11" ht="15" customHeight="1" x14ac:dyDescent="0.35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</row>
    <row r="47" spans="1:11" ht="15" customHeight="1" x14ac:dyDescent="0.35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</row>
    <row r="48" spans="1:11" ht="15" customHeight="1" x14ac:dyDescent="0.35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</row>
    <row r="49" spans="1:11" ht="15" customHeight="1" x14ac:dyDescent="0.35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</row>
    <row r="50" spans="1:11" ht="15" customHeight="1" x14ac:dyDescent="0.35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</row>
    <row r="51" spans="1:11" ht="15" customHeight="1" x14ac:dyDescent="0.35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</row>
    <row r="52" spans="1:11" ht="15" customHeight="1" x14ac:dyDescent="0.35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</row>
    <row r="53" spans="1:11" ht="15" customHeight="1" x14ac:dyDescent="0.35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</row>
    <row r="54" spans="1:11" ht="15" customHeight="1" x14ac:dyDescent="0.35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</row>
    <row r="55" spans="1:11" ht="7.5" customHeight="1" x14ac:dyDescent="0.35">
      <c r="A55" s="1"/>
    </row>
    <row r="56" spans="1:11" ht="30" customHeight="1" x14ac:dyDescent="0.35">
      <c r="A56" s="72" t="s">
        <v>10</v>
      </c>
      <c r="B56" s="72"/>
      <c r="C56" s="72"/>
      <c r="D56" s="72"/>
      <c r="E56" s="72"/>
      <c r="F56" s="72"/>
      <c r="G56" s="72"/>
      <c r="H56" s="72"/>
      <c r="I56" s="72"/>
      <c r="J56" s="72"/>
      <c r="K56" s="72"/>
    </row>
    <row r="57" spans="1:11" ht="15" customHeight="1" x14ac:dyDescent="0.35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</row>
    <row r="58" spans="1:11" ht="15" customHeight="1" x14ac:dyDescent="0.35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</row>
    <row r="59" spans="1:11" ht="15" customHeight="1" x14ac:dyDescent="0.35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</row>
    <row r="60" spans="1:11" ht="15" customHeight="1" x14ac:dyDescent="0.35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</row>
    <row r="61" spans="1:11" ht="15" customHeight="1" x14ac:dyDescent="0.35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</row>
    <row r="62" spans="1:11" ht="15" customHeight="1" x14ac:dyDescent="0.35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</row>
    <row r="63" spans="1:11" ht="15" customHeight="1" x14ac:dyDescent="0.35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</row>
    <row r="64" spans="1:11" ht="15" customHeight="1" x14ac:dyDescent="0.35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</row>
    <row r="65" spans="1:11" ht="15" customHeight="1" x14ac:dyDescent="0.35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</row>
    <row r="66" spans="1:11" ht="15" customHeight="1" x14ac:dyDescent="0.35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</row>
    <row r="67" spans="1:11" ht="15" customHeight="1" x14ac:dyDescent="0.35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</row>
    <row r="68" spans="1:11" ht="15" customHeight="1" x14ac:dyDescent="0.35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</row>
    <row r="69" spans="1:11" ht="15" customHeight="1" x14ac:dyDescent="0.35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</row>
    <row r="70" spans="1:11" ht="15" customHeight="1" x14ac:dyDescent="0.35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</row>
    <row r="71" spans="1:11" ht="15" customHeight="1" x14ac:dyDescent="0.35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</row>
    <row r="72" spans="1:11" ht="15" customHeight="1" x14ac:dyDescent="0.35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</row>
    <row r="73" spans="1:11" ht="15" customHeight="1" x14ac:dyDescent="0.35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</row>
    <row r="74" spans="1:11" ht="15" customHeight="1" x14ac:dyDescent="0.35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</row>
    <row r="75" spans="1:11" ht="15" customHeight="1" x14ac:dyDescent="0.35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</row>
    <row r="76" spans="1:11" ht="15" customHeight="1" x14ac:dyDescent="0.35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</row>
    <row r="77" spans="1:11" ht="15" customHeight="1" x14ac:dyDescent="0.35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</row>
    <row r="78" spans="1:11" ht="15" customHeight="1" x14ac:dyDescent="0.35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</row>
    <row r="79" spans="1:11" ht="7.5" customHeight="1" x14ac:dyDescent="0.3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</row>
    <row r="80" spans="1:11" ht="30" customHeight="1" x14ac:dyDescent="0.35">
      <c r="A80" s="72" t="s">
        <v>11</v>
      </c>
      <c r="B80" s="72"/>
      <c r="C80" s="72"/>
      <c r="D80" s="72"/>
      <c r="E80" s="72"/>
      <c r="F80" s="72"/>
      <c r="G80" s="72"/>
      <c r="H80" s="72"/>
      <c r="I80" s="72"/>
      <c r="J80" s="72"/>
      <c r="K80" s="72"/>
    </row>
    <row r="81" spans="1:11" ht="25.5" customHeight="1" x14ac:dyDescent="0.35">
      <c r="A81" s="1"/>
      <c r="B81" s="2" t="s">
        <v>12</v>
      </c>
      <c r="C81" s="2" t="s">
        <v>13</v>
      </c>
      <c r="D81" s="2" t="s">
        <v>14</v>
      </c>
      <c r="E81" s="2" t="s">
        <v>15</v>
      </c>
      <c r="F81" s="2" t="s">
        <v>16</v>
      </c>
      <c r="G81" s="2" t="s">
        <v>17</v>
      </c>
      <c r="H81" s="2" t="s">
        <v>18</v>
      </c>
    </row>
    <row r="82" spans="1:11" ht="21.75" customHeight="1" x14ac:dyDescent="0.35">
      <c r="A82" s="1"/>
      <c r="B82" s="3" t="str">
        <f>'Leads Data'!B4</f>
        <v>Afrimed Pharmaceutical Ltd.</v>
      </c>
      <c r="C82" s="3" t="str">
        <f>'Leads Data'!M4</f>
        <v>Zambia</v>
      </c>
      <c r="D82" s="3" t="str">
        <f>'Leads Data'!J4</f>
        <v>Interested</v>
      </c>
      <c r="E82" s="3" t="str">
        <f>'Leads Data'!F4</f>
        <v>Product Supply</v>
      </c>
      <c r="F82" s="4">
        <f>'Leads Data'!G4</f>
        <v>680256</v>
      </c>
      <c r="G82" s="3" t="str">
        <f>'Leads Data'!C4</f>
        <v>Mr. Hyder Khan</v>
      </c>
      <c r="H82" s="3" t="str">
        <f>'Leads Data'!Q4</f>
        <v>Interested in Hearing Aids</v>
      </c>
    </row>
    <row r="83" spans="1:11" ht="21.75" customHeight="1" x14ac:dyDescent="0.35">
      <c r="A83" s="1"/>
      <c r="B83" s="5" t="str">
        <f>'Leads Data'!B5</f>
        <v>SJS Life Sciences Ltd.</v>
      </c>
      <c r="C83" s="5" t="str">
        <f>'Leads Data'!M5</f>
        <v>Nigeria</v>
      </c>
      <c r="D83" s="5" t="str">
        <f>'Leads Data'!J5</f>
        <v>Negotiating</v>
      </c>
      <c r="E83" s="5" t="str">
        <f>'Leads Data'!F5</f>
        <v>Product Supply</v>
      </c>
      <c r="F83" s="6">
        <f>'Leads Data'!G5</f>
        <v>680256</v>
      </c>
      <c r="G83" s="5" t="str">
        <f>'Leads Data'!C5</f>
        <v>Jitendra Pandey</v>
      </c>
      <c r="H83" s="5" t="str">
        <f>'Leads Data'!Q5</f>
        <v>Interested in Hearing Aids</v>
      </c>
    </row>
    <row r="84" spans="1:11" ht="21.75" customHeight="1" x14ac:dyDescent="0.35">
      <c r="A84" s="1"/>
      <c r="B84" s="3" t="str">
        <f>'Leads Data'!B6</f>
        <v>Medikit Corporation</v>
      </c>
      <c r="C84" s="3" t="str">
        <f>'Leads Data'!M6</f>
        <v>Bangladesh</v>
      </c>
      <c r="D84" s="3" t="str">
        <f>'Leads Data'!J6</f>
        <v>Not Interested</v>
      </c>
      <c r="E84" s="3" t="str">
        <f>'Leads Data'!F6</f>
        <v>Product Supply</v>
      </c>
      <c r="F84" s="4">
        <f>'Leads Data'!G6</f>
        <v>62458200</v>
      </c>
      <c r="G84" s="3" t="str">
        <f>'Leads Data'!C6</f>
        <v>Md. Mamunor Rashid</v>
      </c>
      <c r="H84" s="3" t="str">
        <f>'Leads Data'!Q6</f>
        <v>Responded to email</v>
      </c>
    </row>
    <row r="85" spans="1:11" ht="21.75" customHeight="1" x14ac:dyDescent="0.35">
      <c r="A85" s="1"/>
      <c r="B85" s="5" t="str">
        <f>'Leads Data'!B17</f>
        <v>Kamsitoc Global Trading Sarl</v>
      </c>
      <c r="C85" s="5" t="str">
        <f>'Leads Data'!M17</f>
        <v>Togo</v>
      </c>
      <c r="D85" s="5" t="str">
        <f>'Leads Data'!J17</f>
        <v>Interested</v>
      </c>
      <c r="E85" s="5" t="str">
        <f>'Leads Data'!F17</f>
        <v>Product Supply</v>
      </c>
      <c r="F85" s="6">
        <f>'Leads Data'!G17</f>
        <v>45000</v>
      </c>
      <c r="G85" s="5" t="str">
        <f>'Leads Data'!C17</f>
        <v>Comrade Kwaku Jojo (Mr)</v>
      </c>
      <c r="H85" s="5" t="str">
        <f>'Leads Data'!Q17</f>
        <v>export pricing required</v>
      </c>
    </row>
    <row r="86" spans="1:11" ht="21.75" customHeight="1" x14ac:dyDescent="0.35">
      <c r="A86" s="1"/>
      <c r="B86" s="3">
        <f>'Leads Data'!B25</f>
        <v>0</v>
      </c>
      <c r="C86" s="3" t="str">
        <f>'Leads Data'!M25</f>
        <v>Iraq</v>
      </c>
      <c r="D86" s="3" t="str">
        <f>'Leads Data'!J25</f>
        <v>Reply to be Given</v>
      </c>
      <c r="E86" s="3" t="str">
        <f>'Leads Data'!F25</f>
        <v>Product Supply</v>
      </c>
      <c r="F86" s="4">
        <f>'Leads Data'!G25</f>
        <v>0</v>
      </c>
      <c r="G86" s="3" t="str">
        <f>'Leads Data'!C25</f>
        <v>Dr. Rasar Rahim</v>
      </c>
      <c r="H86" s="3" t="str">
        <f>'Leads Data'!Q25</f>
        <v>export pricing required</v>
      </c>
    </row>
    <row r="87" spans="1:11" ht="21.75" customHeight="1" x14ac:dyDescent="0.35">
      <c r="A87" s="1"/>
      <c r="B87" s="5" t="str">
        <f>'Leads Data'!B26</f>
        <v> Mongolian burn association </v>
      </c>
      <c r="C87" s="5" t="str">
        <f>'Leads Data'!M26</f>
        <v>Mongolia</v>
      </c>
      <c r="D87" s="5" t="str">
        <f>'Leads Data'!J26</f>
        <v>Reply to be Given</v>
      </c>
      <c r="E87" s="5" t="str">
        <f>'Leads Data'!F26</f>
        <v>Phased Collaboration</v>
      </c>
      <c r="F87" s="6">
        <f>'Leads Data'!G26</f>
        <v>0</v>
      </c>
      <c r="G87" s="5" t="str">
        <f>'Leads Data'!C26</f>
        <v>Dr. Batorgil Enkhbayar</v>
      </c>
      <c r="H87" s="5" t="str">
        <f>'Leads Data'!Q26</f>
        <v>email to be replied</v>
      </c>
    </row>
    <row r="88" spans="1:11" ht="21.75" customHeight="1" x14ac:dyDescent="0.35">
      <c r="A88" s="1"/>
      <c r="B88" s="3" t="e">
        <f>'Leads Data'!#REF!</f>
        <v>#REF!</v>
      </c>
      <c r="C88" s="3" t="e">
        <f>'Leads Data'!#REF!</f>
        <v>#REF!</v>
      </c>
      <c r="D88" s="3" t="e">
        <f>'Leads Data'!#REF!</f>
        <v>#REF!</v>
      </c>
      <c r="E88" s="3" t="e">
        <f>'Leads Data'!#REF!</f>
        <v>#REF!</v>
      </c>
      <c r="F88" s="4" t="e">
        <f>'Leads Data'!#REF!</f>
        <v>#REF!</v>
      </c>
      <c r="G88" s="3" t="e">
        <f>'Leads Data'!#REF!</f>
        <v>#REF!</v>
      </c>
      <c r="H88" s="3" t="e">
        <f>'Leads Data'!#REF!</f>
        <v>#REF!</v>
      </c>
    </row>
    <row r="89" spans="1:11" ht="21.75" customHeight="1" x14ac:dyDescent="0.35">
      <c r="A89" s="1"/>
      <c r="B89" s="5" t="str">
        <f>'Leads Data'!B192</f>
        <v>Tripalogix Pty Ltd</v>
      </c>
      <c r="C89" s="5" t="str">
        <f>'Leads Data'!M192</f>
        <v>South Africa</v>
      </c>
      <c r="D89" s="5" t="str">
        <f>'Leads Data'!J192</f>
        <v>Reply to be Given</v>
      </c>
      <c r="E89" s="5" t="str">
        <f>'Leads Data'!F192</f>
        <v>Product Supply</v>
      </c>
      <c r="F89" s="6">
        <f>'Leads Data'!G192</f>
        <v>0</v>
      </c>
      <c r="G89" s="5" t="str">
        <f>'Leads Data'!C192</f>
        <v>Karabo Motsamai Vuso</v>
      </c>
      <c r="H89" s="5" t="str">
        <f>'Leads Data'!Q192</f>
        <v>email to be replied</v>
      </c>
    </row>
    <row r="90" spans="1:11" ht="21.75" customHeight="1" x14ac:dyDescent="0.35">
      <c r="A90" s="75" t="s">
        <v>19</v>
      </c>
      <c r="B90" s="75"/>
      <c r="C90" s="75"/>
      <c r="D90" s="75"/>
      <c r="E90" s="75"/>
      <c r="F90" s="75"/>
      <c r="G90" s="75"/>
      <c r="H90" s="75"/>
      <c r="I90" s="75"/>
      <c r="J90" s="75"/>
      <c r="K90" s="75"/>
    </row>
    <row r="91" spans="1:11" ht="15" customHeight="1" x14ac:dyDescent="0.35">
      <c r="A91" s="1"/>
    </row>
    <row r="92" spans="1:11" ht="15" customHeight="1" x14ac:dyDescent="0.35">
      <c r="A92" s="1"/>
    </row>
  </sheetData>
  <mergeCells count="88">
    <mergeCell ref="A77:K77"/>
    <mergeCell ref="A78:K78"/>
    <mergeCell ref="A79:K79"/>
    <mergeCell ref="A80:K80"/>
    <mergeCell ref="A90:K90"/>
    <mergeCell ref="A72:K72"/>
    <mergeCell ref="A73:K73"/>
    <mergeCell ref="A74:K74"/>
    <mergeCell ref="A75:K75"/>
    <mergeCell ref="A76:K76"/>
    <mergeCell ref="A67:K67"/>
    <mergeCell ref="A68:K68"/>
    <mergeCell ref="A69:K69"/>
    <mergeCell ref="A70:K70"/>
    <mergeCell ref="A71:K71"/>
    <mergeCell ref="A62:K62"/>
    <mergeCell ref="A63:K63"/>
    <mergeCell ref="A64:K64"/>
    <mergeCell ref="A65:K65"/>
    <mergeCell ref="A66:K66"/>
    <mergeCell ref="A57:K57"/>
    <mergeCell ref="A58:K58"/>
    <mergeCell ref="A59:K59"/>
    <mergeCell ref="A60:K60"/>
    <mergeCell ref="A61:K61"/>
    <mergeCell ref="A51:K51"/>
    <mergeCell ref="A52:K52"/>
    <mergeCell ref="A53:K53"/>
    <mergeCell ref="A54:K54"/>
    <mergeCell ref="A56:K56"/>
    <mergeCell ref="A46:K46"/>
    <mergeCell ref="A47:K47"/>
    <mergeCell ref="A48:K48"/>
    <mergeCell ref="A49:K49"/>
    <mergeCell ref="A50:K50"/>
    <mergeCell ref="A41:K41"/>
    <mergeCell ref="A42:K42"/>
    <mergeCell ref="A43:K43"/>
    <mergeCell ref="A44:K44"/>
    <mergeCell ref="A45:K45"/>
    <mergeCell ref="A36:K36"/>
    <mergeCell ref="A37:K37"/>
    <mergeCell ref="A38:K38"/>
    <mergeCell ref="A39:K39"/>
    <mergeCell ref="A40:K40"/>
    <mergeCell ref="A31:K31"/>
    <mergeCell ref="A32:K32"/>
    <mergeCell ref="A34:E34"/>
    <mergeCell ref="F34:K34"/>
    <mergeCell ref="A35:K35"/>
    <mergeCell ref="A26:K26"/>
    <mergeCell ref="A27:K27"/>
    <mergeCell ref="A28:K28"/>
    <mergeCell ref="A29:K29"/>
    <mergeCell ref="A30:K30"/>
    <mergeCell ref="A21:K21"/>
    <mergeCell ref="A22:K22"/>
    <mergeCell ref="A23:K23"/>
    <mergeCell ref="A24:K24"/>
    <mergeCell ref="A25:K25"/>
    <mergeCell ref="A16:K16"/>
    <mergeCell ref="A17:K17"/>
    <mergeCell ref="A18:K18"/>
    <mergeCell ref="A19:K19"/>
    <mergeCell ref="A20:K20"/>
    <mergeCell ref="A12:E12"/>
    <mergeCell ref="F12:K12"/>
    <mergeCell ref="A13:K13"/>
    <mergeCell ref="A14:K14"/>
    <mergeCell ref="A15:K15"/>
    <mergeCell ref="B10:C10"/>
    <mergeCell ref="D10:E10"/>
    <mergeCell ref="G10:H10"/>
    <mergeCell ref="I10:J10"/>
    <mergeCell ref="A11:K11"/>
    <mergeCell ref="B6:C6"/>
    <mergeCell ref="D6:E6"/>
    <mergeCell ref="G6:H6"/>
    <mergeCell ref="I6:J6"/>
    <mergeCell ref="B7:C9"/>
    <mergeCell ref="D7:E9"/>
    <mergeCell ref="G7:H9"/>
    <mergeCell ref="I7:J9"/>
    <mergeCell ref="A1:K1"/>
    <mergeCell ref="A2:K2"/>
    <mergeCell ref="A3:K3"/>
    <mergeCell ref="A4:K4"/>
    <mergeCell ref="A5:K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8B6F"/>
  </sheetPr>
  <dimension ref="A1:H27"/>
  <sheetViews>
    <sheetView showGridLines="0" topLeftCell="A9" zoomScaleNormal="100" workbookViewId="0">
      <selection activeCell="B2" sqref="B2"/>
    </sheetView>
  </sheetViews>
  <sheetFormatPr defaultColWidth="8.6328125" defaultRowHeight="14.5" x14ac:dyDescent="0.35"/>
  <cols>
    <col min="1" max="1" width="22" customWidth="1"/>
    <col min="2" max="2" width="8" customWidth="1"/>
    <col min="3" max="3" width="2" customWidth="1"/>
    <col min="4" max="4" width="22" customWidth="1"/>
    <col min="5" max="5" width="8" customWidth="1"/>
    <col min="6" max="6" width="2" customWidth="1"/>
    <col min="7" max="7" width="26" customWidth="1"/>
    <col min="8" max="8" width="14" customWidth="1"/>
    <col min="9" max="9" width="2" customWidth="1"/>
  </cols>
  <sheetData>
    <row r="1" spans="1:8" ht="21.75" customHeight="1" x14ac:dyDescent="0.35">
      <c r="A1" s="76" t="s">
        <v>92</v>
      </c>
      <c r="B1" s="76"/>
      <c r="C1" s="25"/>
      <c r="D1" s="77" t="s">
        <v>93</v>
      </c>
      <c r="E1" s="77"/>
      <c r="F1" s="25"/>
      <c r="G1" s="77" t="s">
        <v>94</v>
      </c>
      <c r="H1" s="77"/>
    </row>
    <row r="2" spans="1:8" ht="19.5" customHeight="1" x14ac:dyDescent="0.35">
      <c r="A2" s="26" t="s">
        <v>95</v>
      </c>
      <c r="B2" s="26" t="s">
        <v>96</v>
      </c>
      <c r="C2" s="25"/>
      <c r="D2" s="26" t="s">
        <v>13</v>
      </c>
      <c r="E2" s="26" t="s">
        <v>97</v>
      </c>
      <c r="F2" s="25"/>
      <c r="G2" s="26" t="s">
        <v>98</v>
      </c>
      <c r="H2" s="26" t="s">
        <v>99</v>
      </c>
    </row>
    <row r="3" spans="1:8" ht="14.25" customHeight="1" x14ac:dyDescent="0.35">
      <c r="A3" s="5" t="s">
        <v>36</v>
      </c>
      <c r="B3" s="27">
        <f>COUNTIF('Leads Data'!I:I,"Email")</f>
        <v>191</v>
      </c>
      <c r="C3" s="25"/>
      <c r="D3" s="5" t="s">
        <v>40</v>
      </c>
      <c r="E3" s="27">
        <f>COUNTIF('Leads Data'!M:M,"Zambia")</f>
        <v>1</v>
      </c>
      <c r="F3" s="25"/>
      <c r="G3" s="5" t="s">
        <v>33</v>
      </c>
      <c r="H3" s="28">
        <f>SUMIF('Leads Data'!B:B,"Afrimed Pharmaceutical Ltd.",'Leads Data'!G:G)</f>
        <v>680256</v>
      </c>
    </row>
    <row r="4" spans="1:8" ht="14.25" customHeight="1" x14ac:dyDescent="0.35">
      <c r="A4" s="3" t="s">
        <v>100</v>
      </c>
      <c r="B4" s="29">
        <f>COUNTIF('Leads Data'!I:I,"Referral")</f>
        <v>0</v>
      </c>
      <c r="C4" s="25"/>
      <c r="D4" s="3" t="s">
        <v>49</v>
      </c>
      <c r="E4" s="29">
        <f>COUNTIF('Leads Data'!M:M,"Nigeria")</f>
        <v>1</v>
      </c>
      <c r="F4" s="25"/>
      <c r="G4" s="3" t="s">
        <v>45</v>
      </c>
      <c r="H4" s="30">
        <f>SUMIF('Leads Data'!B:B,"SJS Life Sciences Ltd.",'Leads Data'!G:G)</f>
        <v>680256</v>
      </c>
    </row>
    <row r="5" spans="1:8" ht="14.25" customHeight="1" x14ac:dyDescent="0.35">
      <c r="A5" s="5" t="s">
        <v>101</v>
      </c>
      <c r="B5" s="27">
        <f>COUNTIF('Leads Data'!I:I,"Exhibition")</f>
        <v>0</v>
      </c>
      <c r="C5" s="25"/>
      <c r="D5" s="5" t="s">
        <v>59</v>
      </c>
      <c r="E5" s="27">
        <f>COUNTIF('Leads Data'!M:M,"Bangladesh")</f>
        <v>11</v>
      </c>
      <c r="F5" s="25"/>
      <c r="G5" s="5" t="s">
        <v>53</v>
      </c>
      <c r="H5" s="28">
        <f>SUMIF('Leads Data'!B:B,"Medikit Corporation",'Leads Data'!G:G)</f>
        <v>687040255</v>
      </c>
    </row>
    <row r="6" spans="1:8" ht="14.25" customHeight="1" x14ac:dyDescent="0.35">
      <c r="A6" s="3" t="s">
        <v>102</v>
      </c>
      <c r="B6" s="29">
        <f>COUNTIF('Leads Data'!I:I,"ITEC")</f>
        <v>1</v>
      </c>
      <c r="C6" s="25"/>
      <c r="D6" s="3" t="s">
        <v>67</v>
      </c>
      <c r="E6" s="29">
        <f>COUNTIF('Leads Data'!M:M,"Togo")</f>
        <v>8</v>
      </c>
      <c r="F6" s="25"/>
      <c r="G6" s="3" t="s">
        <v>103</v>
      </c>
      <c r="H6" s="30">
        <f>SUMIF('Leads Data'!B:B,"Kamsitoc Global Trading Sarl",'Leads Data'!G:G)</f>
        <v>360028</v>
      </c>
    </row>
    <row r="7" spans="1:8" ht="14.25" customHeight="1" x14ac:dyDescent="0.35">
      <c r="A7" s="5" t="s">
        <v>104</v>
      </c>
      <c r="B7" s="27">
        <f>COUNTIF('Leads Data'!I:I,"Eximpedia")</f>
        <v>0</v>
      </c>
      <c r="C7" s="25"/>
      <c r="D7" s="5" t="s">
        <v>74</v>
      </c>
      <c r="E7" s="27">
        <f>COUNTIF('Leads Data'!M:M,"Iraq")</f>
        <v>1</v>
      </c>
      <c r="F7" s="25"/>
      <c r="G7" s="5" t="s">
        <v>105</v>
      </c>
      <c r="H7" s="28">
        <f>SUMIF('Leads Data'!B:B,"JMB Pharmaceuticals Pvt. Ltd. ",'Leads Data'!G:G)</f>
        <v>0</v>
      </c>
    </row>
    <row r="8" spans="1:8" ht="14.25" customHeight="1" x14ac:dyDescent="0.35">
      <c r="A8" s="31" t="s">
        <v>106</v>
      </c>
      <c r="B8" s="32">
        <f>SUM(B3:B7)</f>
        <v>192</v>
      </c>
      <c r="C8" s="25"/>
      <c r="D8" s="3" t="s">
        <v>79</v>
      </c>
      <c r="E8" s="29">
        <f>COUNTIF('Leads Data'!M:M,"Mongolia")</f>
        <v>1</v>
      </c>
      <c r="F8" s="25"/>
      <c r="G8" s="3" t="s">
        <v>107</v>
      </c>
      <c r="H8" s="30">
        <f>SUMIF('Leads Data'!B:B,"Tripalogix Pty Ltd",'Leads Data'!G:G)</f>
        <v>0</v>
      </c>
    </row>
    <row r="9" spans="1:8" ht="14.25" customHeight="1" x14ac:dyDescent="0.35">
      <c r="A9" s="25"/>
      <c r="B9" s="25"/>
      <c r="C9" s="25"/>
      <c r="D9" s="5" t="s">
        <v>85</v>
      </c>
      <c r="E9" s="27">
        <f>COUNTIF('Leads Data'!M:M,"Turkmenistan")</f>
        <v>165</v>
      </c>
      <c r="F9" s="25"/>
      <c r="G9" s="33" t="s">
        <v>106</v>
      </c>
      <c r="H9" s="34">
        <f>SUM(H3:H8)</f>
        <v>688760795</v>
      </c>
    </row>
    <row r="10" spans="1:8" ht="21.75" customHeight="1" x14ac:dyDescent="0.35">
      <c r="A10" s="76" t="s">
        <v>108</v>
      </c>
      <c r="B10" s="76"/>
      <c r="C10" s="25"/>
      <c r="D10" s="3" t="s">
        <v>90</v>
      </c>
      <c r="E10" s="29">
        <f>COUNTIF('Leads Data'!M:M,"South Africa")</f>
        <v>1</v>
      </c>
      <c r="F10" s="25"/>
      <c r="G10" s="25"/>
      <c r="H10" s="25"/>
    </row>
    <row r="11" spans="1:8" ht="19.5" customHeight="1" x14ac:dyDescent="0.35">
      <c r="A11" s="26" t="s">
        <v>109</v>
      </c>
      <c r="B11" s="26" t="s">
        <v>96</v>
      </c>
      <c r="C11" s="25"/>
      <c r="D11" s="5" t="s">
        <v>110</v>
      </c>
      <c r="E11" s="27">
        <f>COUNTIF('Leads Data'!M:M,"Uganda")</f>
        <v>0</v>
      </c>
      <c r="F11" s="25"/>
      <c r="G11" s="25"/>
      <c r="H11" s="25"/>
    </row>
    <row r="12" spans="1:8" ht="14.25" customHeight="1" x14ac:dyDescent="0.35">
      <c r="A12" s="3" t="s">
        <v>72</v>
      </c>
      <c r="B12" s="29">
        <f>COUNTIF('Leads Data'!J:J,"Reply to be Given")</f>
        <v>168</v>
      </c>
      <c r="C12" s="35"/>
      <c r="D12" s="36" t="s">
        <v>111</v>
      </c>
      <c r="E12" s="29">
        <f>COUNTIF('Leads Data'!M:M,"Kenya")</f>
        <v>0</v>
      </c>
      <c r="F12" s="25"/>
      <c r="G12" s="35"/>
      <c r="H12" s="37"/>
    </row>
    <row r="13" spans="1:8" ht="14.25" customHeight="1" x14ac:dyDescent="0.35">
      <c r="A13" s="5" t="s">
        <v>112</v>
      </c>
      <c r="B13" s="27">
        <f>COUNTIF('Leads Data'!J:J,"No Reply")</f>
        <v>0</v>
      </c>
      <c r="C13" s="35"/>
      <c r="D13" s="38" t="s">
        <v>113</v>
      </c>
      <c r="E13" s="27">
        <f>COUNTIF('Leads Data'!M:M,"Ethiopia")</f>
        <v>0</v>
      </c>
      <c r="F13" s="25"/>
      <c r="G13" s="35"/>
      <c r="H13" s="37"/>
    </row>
    <row r="14" spans="1:8" ht="14.25" customHeight="1" x14ac:dyDescent="0.35">
      <c r="A14" s="3" t="s">
        <v>37</v>
      </c>
      <c r="B14" s="29">
        <f>COUNTIF('Leads Data'!J:J,"Interested")</f>
        <v>14</v>
      </c>
      <c r="C14" s="35"/>
      <c r="D14" s="36" t="s">
        <v>114</v>
      </c>
      <c r="E14" s="29">
        <f>COUNTIF('Leads Data'!M:M,"Ghana")</f>
        <v>0</v>
      </c>
      <c r="F14" s="25"/>
      <c r="G14" s="35"/>
      <c r="H14" s="37"/>
    </row>
    <row r="15" spans="1:8" ht="14.25" customHeight="1" x14ac:dyDescent="0.35">
      <c r="A15" s="5" t="s">
        <v>56</v>
      </c>
      <c r="B15" s="27">
        <f>COUNTIF('Leads Data'!J:J,"Not Interested")</f>
        <v>11</v>
      </c>
      <c r="C15" s="35"/>
      <c r="D15" s="38" t="s">
        <v>115</v>
      </c>
      <c r="E15" s="27">
        <f>COUNTIF('Leads Data'!M:M,"Tanzania")</f>
        <v>2</v>
      </c>
      <c r="F15" s="25"/>
      <c r="G15" s="35"/>
      <c r="H15" s="37"/>
    </row>
    <row r="16" spans="1:8" ht="14.25" customHeight="1" x14ac:dyDescent="0.35">
      <c r="A16" s="3" t="s">
        <v>38</v>
      </c>
      <c r="B16" s="29">
        <f>COUNTIF('Leads Data'!J:J,"Negotiating")</f>
        <v>1</v>
      </c>
      <c r="C16" s="35"/>
      <c r="D16" s="36" t="s">
        <v>116</v>
      </c>
      <c r="E16" s="29">
        <f>COUNTIF('Leads Data'!M:M,"Egypt")</f>
        <v>0</v>
      </c>
      <c r="F16" s="25"/>
      <c r="G16" s="35"/>
      <c r="H16" s="37"/>
    </row>
    <row r="17" spans="1:8" ht="14.25" customHeight="1" x14ac:dyDescent="0.35">
      <c r="A17" s="33" t="s">
        <v>106</v>
      </c>
      <c r="B17" s="39">
        <f>SUM(B12:B16)</f>
        <v>194</v>
      </c>
      <c r="C17" s="35"/>
      <c r="D17" s="38" t="s">
        <v>117</v>
      </c>
      <c r="E17" s="27">
        <f>COUNTIF('Leads Data'!M:M,"Sudan")</f>
        <v>0</v>
      </c>
      <c r="F17" s="25"/>
      <c r="G17" s="35"/>
      <c r="H17" s="37"/>
    </row>
    <row r="18" spans="1:8" ht="14.25" customHeight="1" x14ac:dyDescent="0.35">
      <c r="A18" s="25"/>
      <c r="B18" s="25"/>
      <c r="C18" s="35"/>
      <c r="D18" s="36" t="s">
        <v>118</v>
      </c>
      <c r="E18" s="29">
        <f>COUNTIF('Leads Data'!M:M,"Cameroon")</f>
        <v>0</v>
      </c>
      <c r="F18" s="25"/>
      <c r="G18" s="35"/>
      <c r="H18" s="37"/>
    </row>
    <row r="19" spans="1:8" ht="21.75" customHeight="1" x14ac:dyDescent="0.35">
      <c r="A19" s="76" t="s">
        <v>119</v>
      </c>
      <c r="B19" s="76"/>
      <c r="C19" s="35"/>
      <c r="D19" s="38" t="s">
        <v>120</v>
      </c>
      <c r="E19" s="27">
        <f>COUNTIF('Leads Data'!M:M,"Rwanda")</f>
        <v>0</v>
      </c>
      <c r="F19" s="25"/>
      <c r="G19" s="35"/>
      <c r="H19" s="37"/>
    </row>
    <row r="20" spans="1:8" ht="19.5" customHeight="1" x14ac:dyDescent="0.35">
      <c r="A20" s="26" t="s">
        <v>15</v>
      </c>
      <c r="B20" s="26" t="s">
        <v>96</v>
      </c>
      <c r="C20" s="35"/>
      <c r="D20" s="36" t="s">
        <v>121</v>
      </c>
      <c r="E20" s="29">
        <f>COUNTIF('Leads Data'!M:M,"Vietnam")</f>
        <v>0</v>
      </c>
      <c r="F20" s="25"/>
      <c r="G20" s="35"/>
      <c r="H20" s="37"/>
    </row>
    <row r="21" spans="1:8" ht="14.25" customHeight="1" x14ac:dyDescent="0.35">
      <c r="A21" s="5" t="s">
        <v>122</v>
      </c>
      <c r="B21" s="27">
        <f>COUNTIF('Leads Data'!F:F,"Product Supply")</f>
        <v>188</v>
      </c>
      <c r="C21" s="35"/>
      <c r="D21" s="40" t="s">
        <v>106</v>
      </c>
      <c r="E21" s="39">
        <f>SUM(E3:E20)</f>
        <v>191</v>
      </c>
      <c r="F21" s="25"/>
      <c r="G21" s="35"/>
      <c r="H21" s="37"/>
    </row>
    <row r="22" spans="1:8" ht="14.25" customHeight="1" x14ac:dyDescent="0.35">
      <c r="A22" s="3" t="s">
        <v>123</v>
      </c>
      <c r="B22" s="29">
        <f>COUNTIF('Leads Data'!F:F,"Phased Collaboration")</f>
        <v>3</v>
      </c>
      <c r="C22" s="35"/>
      <c r="D22" s="37"/>
      <c r="E22" s="25"/>
      <c r="F22" s="25"/>
      <c r="G22" s="35"/>
      <c r="H22" s="37"/>
    </row>
    <row r="23" spans="1:8" ht="14.25" customHeight="1" x14ac:dyDescent="0.35">
      <c r="A23" s="5" t="s">
        <v>124</v>
      </c>
      <c r="B23" s="27">
        <f>COUNTIF('Leads Data'!F:F,"TOT and Manufacturing")</f>
        <v>3</v>
      </c>
      <c r="C23" s="35"/>
      <c r="D23" s="37"/>
      <c r="E23" s="25"/>
      <c r="F23" s="25"/>
      <c r="G23" s="35"/>
      <c r="H23" s="37"/>
    </row>
    <row r="24" spans="1:8" ht="14.25" customHeight="1" x14ac:dyDescent="0.35">
      <c r="A24" s="31" t="s">
        <v>106</v>
      </c>
      <c r="B24" s="32">
        <f>SUM(B21:B23)</f>
        <v>194</v>
      </c>
      <c r="C24" s="35"/>
      <c r="D24" s="37"/>
      <c r="E24" s="25"/>
      <c r="F24" s="25"/>
      <c r="G24" s="35"/>
      <c r="H24" s="37"/>
    </row>
    <row r="25" spans="1:8" ht="14.25" customHeight="1" x14ac:dyDescent="0.35">
      <c r="A25" s="25"/>
      <c r="B25" s="25"/>
      <c r="C25" s="35"/>
      <c r="D25" s="37"/>
      <c r="E25" s="25"/>
      <c r="F25" s="25"/>
      <c r="G25" s="35"/>
      <c r="H25" s="37"/>
    </row>
    <row r="26" spans="1:8" ht="14.25" customHeight="1" x14ac:dyDescent="0.35">
      <c r="A26" s="25"/>
      <c r="B26" s="25"/>
      <c r="C26" s="35"/>
      <c r="D26" s="37"/>
      <c r="E26" s="25"/>
      <c r="F26" s="25"/>
      <c r="G26" s="35"/>
      <c r="H26" s="37"/>
    </row>
    <row r="27" spans="1:8" ht="14.25" customHeight="1" x14ac:dyDescent="0.35">
      <c r="A27" s="25"/>
      <c r="B27" s="25"/>
      <c r="C27" s="35"/>
      <c r="D27" s="37"/>
      <c r="E27" s="25"/>
      <c r="F27" s="25"/>
      <c r="G27" s="35"/>
      <c r="H27" s="37"/>
    </row>
  </sheetData>
  <mergeCells count="5">
    <mergeCell ref="A1:B1"/>
    <mergeCell ref="D1:E1"/>
    <mergeCell ref="G1:H1"/>
    <mergeCell ref="A10:B10"/>
    <mergeCell ref="A19:B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A6475"/>
  </sheetPr>
  <dimension ref="A1:C6"/>
  <sheetViews>
    <sheetView showGridLines="0" zoomScaleNormal="100" workbookViewId="0">
      <selection activeCell="B5" sqref="B5"/>
    </sheetView>
  </sheetViews>
  <sheetFormatPr defaultColWidth="8.6328125" defaultRowHeight="14.5" x14ac:dyDescent="0.35"/>
  <cols>
    <col min="1" max="1" width="30" customWidth="1"/>
    <col min="2" max="2" width="60" customWidth="1"/>
    <col min="3" max="3" width="50" customWidth="1"/>
  </cols>
  <sheetData>
    <row r="1" spans="1:3" ht="30" customHeight="1" x14ac:dyDescent="0.35">
      <c r="A1" s="78" t="s">
        <v>125</v>
      </c>
      <c r="B1" s="78"/>
      <c r="C1" s="78"/>
    </row>
    <row r="3" spans="1:3" ht="14.25" customHeight="1" x14ac:dyDescent="0.35">
      <c r="A3" s="41" t="s">
        <v>126</v>
      </c>
      <c r="B3" s="42">
        <v>80</v>
      </c>
      <c r="C3" s="43" t="s">
        <v>127</v>
      </c>
    </row>
    <row r="4" spans="1:3" ht="14.25" customHeight="1" x14ac:dyDescent="0.35">
      <c r="A4" s="41" t="s">
        <v>12</v>
      </c>
      <c r="B4" s="42" t="s">
        <v>128</v>
      </c>
      <c r="C4" s="43"/>
    </row>
    <row r="5" spans="1:3" ht="14.25" customHeight="1" x14ac:dyDescent="0.35">
      <c r="A5" s="41" t="s">
        <v>129</v>
      </c>
      <c r="B5" s="42" t="s">
        <v>130</v>
      </c>
      <c r="C5" s="43"/>
    </row>
    <row r="6" spans="1:3" ht="14.25" customHeight="1" x14ac:dyDescent="0.35">
      <c r="A6" s="41" t="s">
        <v>131</v>
      </c>
      <c r="B6" s="42" t="s">
        <v>132</v>
      </c>
      <c r="C6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Leads Data</vt:lpstr>
      <vt:lpstr>Dashboard</vt:lpstr>
      <vt:lpstr>Summary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muskan kakkar</cp:lastModifiedBy>
  <cp:revision>3</cp:revision>
  <dcterms:created xsi:type="dcterms:W3CDTF">2026-05-13T08:07:31Z</dcterms:created>
  <dcterms:modified xsi:type="dcterms:W3CDTF">2026-05-21T05:44:58Z</dcterms:modified>
  <dc:language>en-US</dc:language>
</cp:coreProperties>
</file>