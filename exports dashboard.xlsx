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EXPORT\files\"/>
    </mc:Choice>
  </mc:AlternateContent>
  <xr:revisionPtr revIDLastSave="0" documentId="13_ncr:1_{F977B10D-5394-4919-9124-014F29194EEF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Leads Data" sheetId="2" r:id="rId1"/>
    <sheet name="Dashboard" sheetId="1" state="hidden" r:id="rId2"/>
    <sheet name="Summary" sheetId="3" state="hidden" r:id="rId3"/>
    <sheet name="Settings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3" i="3" l="1"/>
  <c r="B22" i="3"/>
  <c r="B21" i="3"/>
  <c r="E20" i="3"/>
  <c r="E19" i="3"/>
  <c r="E18" i="3"/>
  <c r="E17" i="3"/>
  <c r="E16" i="3"/>
  <c r="B16" i="3"/>
  <c r="E15" i="3"/>
  <c r="B15" i="3"/>
  <c r="E14" i="3"/>
  <c r="B14" i="3"/>
  <c r="E13" i="3"/>
  <c r="B13" i="3"/>
  <c r="E12" i="3"/>
  <c r="B12" i="3"/>
  <c r="E11" i="3"/>
  <c r="E10" i="3"/>
  <c r="E9" i="3"/>
  <c r="H8" i="3"/>
  <c r="E8" i="3"/>
  <c r="H7" i="3"/>
  <c r="E7" i="3"/>
  <c r="B7" i="3"/>
  <c r="H6" i="3"/>
  <c r="E6" i="3"/>
  <c r="B6" i="3"/>
  <c r="H5" i="3"/>
  <c r="E5" i="3"/>
  <c r="B5" i="3"/>
  <c r="H4" i="3"/>
  <c r="E4" i="3"/>
  <c r="B4" i="3"/>
  <c r="H3" i="3"/>
  <c r="E3" i="3"/>
  <c r="B3" i="3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R7" i="2"/>
  <c r="H7" i="2"/>
  <c r="R6" i="2"/>
  <c r="H6" i="2"/>
  <c r="R5" i="2"/>
  <c r="H5" i="2"/>
  <c r="R4" i="2"/>
  <c r="H4" i="2"/>
  <c r="H89" i="1"/>
  <c r="G89" i="1"/>
  <c r="F89" i="1"/>
  <c r="E89" i="1"/>
  <c r="D89" i="1"/>
  <c r="C89" i="1"/>
  <c r="B89" i="1"/>
  <c r="H88" i="1"/>
  <c r="G88" i="1"/>
  <c r="F88" i="1"/>
  <c r="E88" i="1"/>
  <c r="D88" i="1"/>
  <c r="C88" i="1"/>
  <c r="B88" i="1"/>
  <c r="H87" i="1"/>
  <c r="G87" i="1"/>
  <c r="F87" i="1"/>
  <c r="E87" i="1"/>
  <c r="D87" i="1"/>
  <c r="C87" i="1"/>
  <c r="B87" i="1"/>
  <c r="H86" i="1"/>
  <c r="G86" i="1"/>
  <c r="F86" i="1"/>
  <c r="E86" i="1"/>
  <c r="D86" i="1"/>
  <c r="C86" i="1"/>
  <c r="B86" i="1"/>
  <c r="H85" i="1"/>
  <c r="G85" i="1"/>
  <c r="F85" i="1"/>
  <c r="E85" i="1"/>
  <c r="D85" i="1"/>
  <c r="C85" i="1"/>
  <c r="B85" i="1"/>
  <c r="H84" i="1"/>
  <c r="G84" i="1"/>
  <c r="F84" i="1"/>
  <c r="E84" i="1"/>
  <c r="D84" i="1"/>
  <c r="C84" i="1"/>
  <c r="B84" i="1"/>
  <c r="H83" i="1"/>
  <c r="G83" i="1"/>
  <c r="F83" i="1"/>
  <c r="E83" i="1"/>
  <c r="D83" i="1"/>
  <c r="C83" i="1"/>
  <c r="B83" i="1"/>
  <c r="H82" i="1"/>
  <c r="G82" i="1"/>
  <c r="F82" i="1"/>
  <c r="E82" i="1"/>
  <c r="D82" i="1"/>
  <c r="C82" i="1"/>
  <c r="B82" i="1"/>
  <c r="I7" i="1"/>
  <c r="D7" i="1"/>
  <c r="B7" i="1"/>
  <c r="E21" i="3" l="1"/>
  <c r="B17" i="3"/>
  <c r="H9" i="3"/>
  <c r="B8" i="3"/>
  <c r="B24" i="3"/>
</calcChain>
</file>

<file path=xl/sharedStrings.xml><?xml version="1.0" encoding="utf-8"?>
<sst xmlns="http://schemas.openxmlformats.org/spreadsheetml/2006/main" count="228" uniqueCount="151">
  <si>
    <t>ALIMCO  —  EXPORT LEADS DASHBOARD</t>
  </si>
  <si>
    <t>Artificial Limbs &amp; Manufacturing Corporation of India  |  Ministry of Social Justice &amp; Empowerment, Govt. of India  |  Export Division</t>
  </si>
  <si>
    <t xml:space="preserve">  KEY PERFORMANCE INDICATORS</t>
  </si>
  <si>
    <t>TOTAL LEADS</t>
  </si>
  <si>
    <t>INTERESTED + ACTIVE</t>
  </si>
  <si>
    <t>REPLY PENDING</t>
  </si>
  <si>
    <t xml:space="preserve">  LEAD STATUS DISTRIBUTION</t>
  </si>
  <si>
    <t xml:space="preserve">  LEAD SOURCE BREAKDOWN</t>
  </si>
  <si>
    <t xml:space="preserve">  COUNTRY-WISE LEAD INTEREST</t>
  </si>
  <si>
    <t xml:space="preserve">  ORDER TYPE DISTRIBUTION</t>
  </si>
  <si>
    <t xml:space="preserve">  ORDER VALUE BY COMPANY (₹ INR)  —  COMMERCIAL PIPELINE</t>
  </si>
  <si>
    <t xml:space="preserve">  RECENT LEADS SNAPSHOT</t>
  </si>
  <si>
    <t>Company Name</t>
  </si>
  <si>
    <t>Country</t>
  </si>
  <si>
    <t>Lead Status</t>
  </si>
  <si>
    <t>Order Type</t>
  </si>
  <si>
    <t>Order Value (₹)</t>
  </si>
  <si>
    <t>Contact Person</t>
  </si>
  <si>
    <t>Notes</t>
  </si>
  <si>
    <t>ALIMCO — Empowering Lives Through Assistive Technology  |  www.alimco.in  |  Export Division  |  Ministry of Social Justice &amp; Empowerment, Govt. of India</t>
  </si>
  <si>
    <t>ALIMCO  —  EXPORT LEADS MANAGEMENT SYSTEM</t>
  </si>
  <si>
    <t>SNO.</t>
  </si>
  <si>
    <t>Last Contacted</t>
  </si>
  <si>
    <t>Order #</t>
  </si>
  <si>
    <t>Order Value (₹ INR)</t>
  </si>
  <si>
    <t>Order Value ($ USD)</t>
  </si>
  <si>
    <t>Lead Source</t>
  </si>
  <si>
    <t>Deal Stage</t>
  </si>
  <si>
    <t>Email Address</t>
  </si>
  <si>
    <t>City</t>
  </si>
  <si>
    <t>Pin Code</t>
  </si>
  <si>
    <t>Contact Number</t>
  </si>
  <si>
    <t>Last Updated</t>
  </si>
  <si>
    <t>Afrimed Pharmaceutical Ltd.</t>
  </si>
  <si>
    <t>Mr. Hyder Khan</t>
  </si>
  <si>
    <t>100 BTE TD 0E 17036</t>
  </si>
  <si>
    <t>Email</t>
  </si>
  <si>
    <t>Interested</t>
  </si>
  <si>
    <t>Negotiating</t>
  </si>
  <si>
    <t> afrimedpharmaceuticals@gmail.com</t>
  </si>
  <si>
    <t>Zambia</t>
  </si>
  <si>
    <t>LUSAKA</t>
  </si>
  <si>
    <t>10101</t>
  </si>
  <si>
    <t>+260 979 328887‬</t>
  </si>
  <si>
    <t>Interested in Hearing Aids</t>
  </si>
  <si>
    <t>SJS Life Sciences Ltd.</t>
  </si>
  <si>
    <t>Jitendra Pandey</t>
  </si>
  <si>
    <t>101 BTE TD 0E 17036</t>
  </si>
  <si>
    <t>jkpandey3s@gmail.com</t>
  </si>
  <si>
    <t>Nigeria</t>
  </si>
  <si>
    <t>LAGOS</t>
  </si>
  <si>
    <t>100271</t>
  </si>
  <si>
    <t>+2348128444444</t>
  </si>
  <si>
    <t>Medikit Corporation</t>
  </si>
  <si>
    <t>Md. Mamunor Rashid</t>
  </si>
  <si>
    <t>MULTIPLE ASSITIVE DEVICES</t>
  </si>
  <si>
    <t>Not Interested</t>
  </si>
  <si>
    <t>Closed - Lost</t>
  </si>
  <si>
    <t>s.johnson@texmart.us</t>
  </si>
  <si>
    <t>Bangladesh</t>
  </si>
  <si>
    <t>Dhaka</t>
  </si>
  <si>
    <t>1206</t>
  </si>
  <si>
    <t>Responded to email</t>
  </si>
  <si>
    <t>Kamsitoc Global Trading Sarl</t>
  </si>
  <si>
    <t>Comrade Kwaku Jojo (Mr)</t>
  </si>
  <si>
    <t>Proposal</t>
  </si>
  <si>
    <t>kwakujojo.7@gmail.com</t>
  </si>
  <si>
    <t>Togo</t>
  </si>
  <si>
    <t>Lome</t>
  </si>
  <si>
    <t>+22898191726</t>
  </si>
  <si>
    <t>export pricing required</t>
  </si>
  <si>
    <t>Dr. Rasar Rahim</t>
  </si>
  <si>
    <t>Reply to be Given</t>
  </si>
  <si>
    <t>rasarrebwar@gmail.com</t>
  </si>
  <si>
    <t>Iraq</t>
  </si>
  <si>
    <t> Mongolian burn association </t>
  </si>
  <si>
    <t>Dr. Batorgil Enkhbayar</t>
  </si>
  <si>
    <t>phased collaboration</t>
  </si>
  <si>
    <t>btrglcx98@gmail.com</t>
  </si>
  <si>
    <t>Mongolia</t>
  </si>
  <si>
    <t>email to be replied</t>
  </si>
  <si>
    <t>JMB Pharmaceuticals Pvt. Ltd. </t>
  </si>
  <si>
    <t>Krishna Mehta </t>
  </si>
  <si>
    <t>orthotics and prosthetics products</t>
  </si>
  <si>
    <t>wessely@jmbpharma.com</t>
  </si>
  <si>
    <t>Turkmenistan</t>
  </si>
  <si>
    <t> +91-9082004363</t>
  </si>
  <si>
    <t>Tripalogix Pty Ltd</t>
  </si>
  <si>
    <t>Karabo Motsamai Vuso</t>
  </si>
  <si>
    <t>tripalogix@gmail.com</t>
  </si>
  <si>
    <t>South Africa</t>
  </si>
  <si>
    <t>0615414005/0620441710</t>
  </si>
  <si>
    <t>LEAD SOURCE</t>
  </si>
  <si>
    <t>COUNTRY ANALYSIS</t>
  </si>
  <si>
    <t>COMPANY VALUES</t>
  </si>
  <si>
    <t>Source</t>
  </si>
  <si>
    <t>Count</t>
  </si>
  <si>
    <t>Leads</t>
  </si>
  <si>
    <t>Company</t>
  </si>
  <si>
    <t>Order (₹)</t>
  </si>
  <si>
    <t>Referral</t>
  </si>
  <si>
    <t>Exhibition</t>
  </si>
  <si>
    <t>ITEC</t>
  </si>
  <si>
    <t>Kamsitoc Global Trading</t>
  </si>
  <si>
    <t>Eximpedia</t>
  </si>
  <si>
    <t>JMB Pharmaceuticals</t>
  </si>
  <si>
    <t>TOTAL</t>
  </si>
  <si>
    <t>Tripalogix Pty Ltd</t>
  </si>
  <si>
    <t>LEAD STATUS</t>
  </si>
  <si>
    <t>Status</t>
  </si>
  <si>
    <t>Uganda</t>
  </si>
  <si>
    <t>Kenya</t>
  </si>
  <si>
    <t>No Reply</t>
  </si>
  <si>
    <t>Ethiopia</t>
  </si>
  <si>
    <t>Ghana</t>
  </si>
  <si>
    <t>Tanzania</t>
  </si>
  <si>
    <t>Egypt</t>
  </si>
  <si>
    <t>Sudan</t>
  </si>
  <si>
    <t>Cameroon</t>
  </si>
  <si>
    <t>ORDER TYPE</t>
  </si>
  <si>
    <t>Rwanda</t>
  </si>
  <si>
    <t>Vietnam</t>
  </si>
  <si>
    <t>Product Supply</t>
  </si>
  <si>
    <t>Phased Collaboration</t>
  </si>
  <si>
    <t>TOT and Manufacturing</t>
  </si>
  <si>
    <t>⚙️  SETTINGS &amp; CONFIGURATION</t>
  </si>
  <si>
    <t>USD Exchange Rate (₹ per $1)</t>
  </si>
  <si>
    <t>Update this to change all USD conversions in Leads Data</t>
  </si>
  <si>
    <t>ARTIFICIAL LIMBS AND MANUFACTURING CORPORATION OF INDIA</t>
  </si>
  <si>
    <t>Report Prepared By</t>
  </si>
  <si>
    <t>Export Sales Team</t>
  </si>
  <si>
    <t>Financial Year</t>
  </si>
  <si>
    <t>2026-27</t>
  </si>
  <si>
    <t>kamal group</t>
  </si>
  <si>
    <t>Mr. Sameer Santosh</t>
  </si>
  <si>
    <t>md@kamal-group.co.tz</t>
  </si>
  <si>
    <t>Dar es Salaam</t>
  </si>
  <si>
    <t xml:space="preserve"> +255 767 624 571</t>
  </si>
  <si>
    <t>reply awaited</t>
  </si>
  <si>
    <t>metl</t>
  </si>
  <si>
    <t>Mr. Gulam Dewji</t>
  </si>
  <si>
    <t>Visit</t>
  </si>
  <si>
    <t>tanzania</t>
  </si>
  <si>
    <t xml:space="preserve">+255 754 600 000 </t>
  </si>
  <si>
    <t>gd@metl.net</t>
  </si>
  <si>
    <t>rec france</t>
  </si>
  <si>
    <t>Mr. Carl</t>
  </si>
  <si>
    <t>TOT</t>
  </si>
  <si>
    <t>FRANCE</t>
  </si>
  <si>
    <t>PARIS</t>
  </si>
  <si>
    <t>MOU 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</si>
</sst>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₹#,##0"/>
    <numFmt numFmtId="165" formatCode="dd\-mmm\-yyyy"/>
    <numFmt numFmtId="166" formatCode="\₹#,##0;&quot;(₹&quot;#,##0\);\-"/>
    <numFmt numFmtId="167" formatCode="\$#,##0.00"/>
    <numFmt numFmtId="168" formatCode="\$#,##0;&quot;($&quot;#,##0\);\-"/>
  </numFmts>
  <fonts count="24" x14ac:knownFonts="1">
    <font>
      <sz val="11"/>
      <color theme="1"/>
      <name val="Calibri"/>
      <family val="2"/>
      <charset val="1"/>
    </font>
    <font>
      <b/>
      <sz val="22"/>
      <color rgb="FFFFFFFF"/>
      <name val="Calibri"/>
      <family val="2"/>
    </font>
    <font>
      <i/>
      <sz val="9"/>
      <color rgb="FF1B3A6B"/>
      <name val="Calibri"/>
      <family val="2"/>
    </font>
    <font>
      <b/>
      <sz val="11"/>
      <color rgb="FFFFFFFF"/>
      <name val="Calibri"/>
      <family val="2"/>
    </font>
    <font>
      <b/>
      <sz val="8"/>
      <color rgb="FF5A6475"/>
      <name val="Calibri"/>
      <family val="2"/>
    </font>
    <font>
      <b/>
      <sz val="32"/>
      <color rgb="FF1B3A6B"/>
      <name val="Calibri"/>
      <family val="2"/>
    </font>
    <font>
      <b/>
      <sz val="32"/>
      <color rgb="FF2C6FAC"/>
      <name val="Calibri"/>
      <family val="2"/>
    </font>
    <font>
      <b/>
      <sz val="22"/>
      <color rgb="FF2E8B6F"/>
      <name val="Calibri"/>
      <family val="2"/>
    </font>
    <font>
      <b/>
      <sz val="32"/>
      <color rgb="FFC47A2B"/>
      <name val="Calibri"/>
      <family val="2"/>
    </font>
    <font>
      <b/>
      <sz val="9"/>
      <color rgb="FFFFFFFF"/>
      <name val="Calibri"/>
      <family val="2"/>
    </font>
    <font>
      <sz val="10"/>
      <color rgb="FF1B3A6B"/>
      <name val="Calibri"/>
      <family val="2"/>
    </font>
    <font>
      <i/>
      <sz val="8"/>
      <color rgb="FF5A6475"/>
      <name val="Calibri"/>
      <family val="2"/>
    </font>
    <font>
      <sz val="40"/>
      <color theme="1"/>
      <name val="Calibri"/>
      <family val="2"/>
      <charset val="1"/>
    </font>
    <font>
      <b/>
      <sz val="17"/>
      <color rgb="FFFFFFFF"/>
      <name val="Calibri"/>
      <family val="2"/>
    </font>
    <font>
      <sz val="11"/>
      <color rgb="FF1B3A6B"/>
      <name val="Calibri"/>
      <family val="2"/>
    </font>
    <font>
      <b/>
      <sz val="10"/>
      <color rgb="FFFFFFFF"/>
      <name val="Calibri"/>
      <family val="2"/>
    </font>
    <font>
      <sz val="11"/>
      <name val="Cambria"/>
      <family val="1"/>
    </font>
    <font>
      <b/>
      <sz val="10"/>
      <color rgb="FF1B3A6B"/>
      <name val="Calibri"/>
      <family val="2"/>
    </font>
    <font>
      <b/>
      <sz val="14"/>
      <color rgb="FFFFFFFF"/>
      <name val="Arial"/>
      <family val="2"/>
      <charset val="1"/>
    </font>
    <font>
      <b/>
      <sz val="10"/>
      <color rgb="FF1B2A4A"/>
      <name val="Arial"/>
      <family val="2"/>
      <charset val="1"/>
    </font>
    <font>
      <sz val="10"/>
      <color rgb="FF0000FF"/>
      <name val="Arial"/>
      <family val="2"/>
      <charset val="1"/>
    </font>
    <font>
      <i/>
      <sz val="9"/>
      <color rgb="FF777777"/>
      <name val="Arial"/>
      <family val="2"/>
      <charset val="1"/>
    </font>
    <font>
      <u/>
      <sz val="11"/>
      <color theme="10"/>
      <name val="Calibri"/>
      <family val="2"/>
      <charset val="1"/>
    </font>
    <font>
      <i/>
      <sz val="11"/>
      <color rgb="FF1B3A6B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1B3A6B"/>
        <bgColor rgb="FF1B2A4A"/>
      </patternFill>
    </fill>
    <fill>
      <patternFill patternType="solid">
        <fgColor rgb="FFFDF6E3"/>
        <bgColor rgb="FFFFF3CD"/>
      </patternFill>
    </fill>
    <fill>
      <patternFill patternType="solid">
        <fgColor rgb="FFB5871A"/>
        <bgColor rgb="FFC47A2B"/>
      </patternFill>
    </fill>
    <fill>
      <patternFill patternType="solid">
        <fgColor rgb="FF2A4E8A"/>
        <bgColor rgb="FF2D4E9E"/>
      </patternFill>
    </fill>
    <fill>
      <patternFill patternType="solid">
        <fgColor rgb="FFE8ECF2"/>
        <bgColor rgb="FFEEF1F6"/>
      </patternFill>
    </fill>
    <fill>
      <patternFill patternType="solid">
        <fgColor rgb="FFF9FAFB"/>
        <bgColor rgb="FFFFFFFF"/>
      </patternFill>
    </fill>
    <fill>
      <patternFill patternType="solid">
        <fgColor rgb="FFFFFFFF"/>
        <bgColor rgb="FFF9FAFB"/>
      </patternFill>
    </fill>
    <fill>
      <patternFill patternType="solid">
        <fgColor rgb="FF2D4E9E"/>
        <bgColor rgb="FF2A4E8A"/>
      </patternFill>
    </fill>
    <fill>
      <patternFill patternType="solid">
        <fgColor rgb="FFEEF1F6"/>
        <bgColor rgb="FFE8ECF2"/>
      </patternFill>
    </fill>
    <fill>
      <patternFill patternType="solid">
        <fgColor rgb="FFD4EDDA"/>
        <bgColor rgb="FFD6E4F0"/>
      </patternFill>
    </fill>
    <fill>
      <patternFill patternType="solid">
        <fgColor rgb="FFCCE5FF"/>
        <bgColor rgb="FFD6E4F0"/>
      </patternFill>
    </fill>
    <fill>
      <patternFill patternType="solid">
        <fgColor rgb="FFF8D7DA"/>
        <bgColor rgb="FFD9D9D9"/>
      </patternFill>
    </fill>
    <fill>
      <patternFill patternType="solid">
        <fgColor rgb="FFFFF3CD"/>
        <bgColor rgb="FFFDF6E3"/>
      </patternFill>
    </fill>
    <fill>
      <patternFill patternType="solid">
        <fgColor rgb="FF1B2A4A"/>
        <bgColor rgb="FF1B3A6B"/>
      </patternFill>
    </fill>
    <fill>
      <patternFill patternType="solid">
        <fgColor rgb="FFD6E4F0"/>
        <bgColor rgb="FFCCE5FF"/>
      </patternFill>
    </fill>
  </fills>
  <borders count="12">
    <border>
      <left/>
      <right/>
      <top/>
      <bottom/>
      <diagonal/>
    </border>
    <border>
      <left style="medium">
        <color rgb="FF1B3A6B"/>
      </left>
      <right/>
      <top/>
      <bottom/>
      <diagonal/>
    </border>
    <border>
      <left style="medium">
        <color rgb="FF2C6FAC"/>
      </left>
      <right/>
      <top/>
      <bottom/>
      <diagonal/>
    </border>
    <border>
      <left style="medium">
        <color rgb="FF2E8B6F"/>
      </left>
      <right/>
      <top/>
      <bottom/>
      <diagonal/>
    </border>
    <border>
      <left style="medium">
        <color rgb="FFC47A2B"/>
      </left>
      <right/>
      <top/>
      <bottom/>
      <diagonal/>
    </border>
    <border>
      <left style="medium">
        <color rgb="FF1B3A6B"/>
      </left>
      <right/>
      <top/>
      <bottom style="thin">
        <color rgb="FFD0D5DD"/>
      </bottom>
      <diagonal/>
    </border>
    <border>
      <left style="medium">
        <color rgb="FF2C6FAC"/>
      </left>
      <right/>
      <top/>
      <bottom style="thin">
        <color rgb="FFD0D5DD"/>
      </bottom>
      <diagonal/>
    </border>
    <border>
      <left style="medium">
        <color rgb="FF2E8B6F"/>
      </left>
      <right/>
      <top/>
      <bottom style="thin">
        <color rgb="FFD0D5DD"/>
      </bottom>
      <diagonal/>
    </border>
    <border>
      <left style="medium">
        <color rgb="FFC47A2B"/>
      </left>
      <right/>
      <top/>
      <bottom style="thin">
        <color rgb="FFD0D5D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71">
    <xf numFmtId="0" fontId="0" fillId="0" borderId="0" xfId="0"/>
    <xf numFmtId="0" fontId="0" fillId="7" borderId="0" xfId="0" applyFill="1"/>
    <xf numFmtId="0" fontId="9" fillId="2" borderId="9" xfId="0" applyFont="1" applyFill="1" applyBorder="1" applyAlignment="1">
      <alignment horizontal="center" vertical="center" wrapText="1"/>
    </xf>
    <xf numFmtId="0" fontId="10" fillId="10" borderId="10" xfId="0" applyFont="1" applyFill="1" applyBorder="1" applyAlignment="1">
      <alignment horizontal="left" vertical="center"/>
    </xf>
    <xf numFmtId="164" fontId="10" fillId="10" borderId="10" xfId="0" applyNumberFormat="1" applyFont="1" applyFill="1" applyBorder="1" applyAlignment="1">
      <alignment horizontal="left" vertical="center"/>
    </xf>
    <xf numFmtId="0" fontId="10" fillId="8" borderId="10" xfId="0" applyFont="1" applyFill="1" applyBorder="1" applyAlignment="1">
      <alignment horizontal="left" vertical="center"/>
    </xf>
    <xf numFmtId="164" fontId="10" fillId="8" borderId="10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center"/>
    </xf>
    <xf numFmtId="0" fontId="12" fillId="0" borderId="0" xfId="0" applyFont="1"/>
    <xf numFmtId="0" fontId="3" fillId="5" borderId="9" xfId="0" applyFont="1" applyFill="1" applyBorder="1" applyAlignment="1">
      <alignment horizontal="center" vertical="center" wrapText="1"/>
    </xf>
    <xf numFmtId="0" fontId="14" fillId="10" borderId="10" xfId="0" applyFont="1" applyFill="1" applyBorder="1" applyAlignment="1">
      <alignment horizontal="left" vertical="center" wrapText="1"/>
    </xf>
    <xf numFmtId="165" fontId="14" fillId="10" borderId="10" xfId="0" applyNumberFormat="1" applyFont="1" applyFill="1" applyBorder="1" applyAlignment="1">
      <alignment horizontal="left" vertical="center" wrapText="1"/>
    </xf>
    <xf numFmtId="166" fontId="14" fillId="10" borderId="10" xfId="0" applyNumberFormat="1" applyFont="1" applyFill="1" applyBorder="1" applyAlignment="1">
      <alignment horizontal="left" vertical="center" wrapText="1"/>
    </xf>
    <xf numFmtId="167" fontId="14" fillId="10" borderId="10" xfId="0" applyNumberFormat="1" applyFont="1" applyFill="1" applyBorder="1" applyAlignment="1">
      <alignment horizontal="left" vertical="center" wrapText="1"/>
    </xf>
    <xf numFmtId="0" fontId="14" fillId="11" borderId="10" xfId="0" applyFont="1" applyFill="1" applyBorder="1" applyAlignment="1">
      <alignment horizontal="left" vertical="center" wrapText="1"/>
    </xf>
    <xf numFmtId="49" fontId="14" fillId="10" borderId="10" xfId="0" applyNumberFormat="1" applyFont="1" applyFill="1" applyBorder="1" applyAlignment="1">
      <alignment horizontal="left" vertical="center" wrapText="1"/>
    </xf>
    <xf numFmtId="0" fontId="14" fillId="8" borderId="10" xfId="0" applyFont="1" applyFill="1" applyBorder="1" applyAlignment="1">
      <alignment horizontal="left" vertical="center" wrapText="1"/>
    </xf>
    <xf numFmtId="165" fontId="14" fillId="8" borderId="10" xfId="0" applyNumberFormat="1" applyFont="1" applyFill="1" applyBorder="1" applyAlignment="1">
      <alignment horizontal="left" vertical="center" wrapText="1"/>
    </xf>
    <xf numFmtId="166" fontId="14" fillId="8" borderId="10" xfId="0" applyNumberFormat="1" applyFont="1" applyFill="1" applyBorder="1" applyAlignment="1">
      <alignment horizontal="left" vertical="center" wrapText="1"/>
    </xf>
    <xf numFmtId="167" fontId="14" fillId="8" borderId="10" xfId="0" applyNumberFormat="1" applyFont="1" applyFill="1" applyBorder="1" applyAlignment="1">
      <alignment horizontal="left" vertical="center" wrapText="1"/>
    </xf>
    <xf numFmtId="0" fontId="14" fillId="12" borderId="10" xfId="0" applyFont="1" applyFill="1" applyBorder="1" applyAlignment="1">
      <alignment horizontal="left" vertical="center" wrapText="1"/>
    </xf>
    <xf numFmtId="49" fontId="14" fillId="8" borderId="10" xfId="0" applyNumberFormat="1" applyFont="1" applyFill="1" applyBorder="1" applyAlignment="1">
      <alignment horizontal="left" vertical="center" wrapText="1"/>
    </xf>
    <xf numFmtId="0" fontId="14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left" vertical="center" wrapText="1"/>
    </xf>
    <xf numFmtId="167" fontId="0" fillId="0" borderId="0" xfId="0" applyNumberFormat="1"/>
    <xf numFmtId="0" fontId="16" fillId="0" borderId="0" xfId="0" applyFont="1"/>
    <xf numFmtId="0" fontId="9" fillId="5" borderId="9" xfId="0" applyFont="1" applyFill="1" applyBorder="1" applyAlignment="1">
      <alignment horizontal="center" vertical="center" wrapText="1"/>
    </xf>
    <xf numFmtId="0" fontId="10" fillId="8" borderId="10" xfId="0" applyFont="1" applyFill="1" applyBorder="1" applyAlignment="1">
      <alignment horizontal="center" vertical="center"/>
    </xf>
    <xf numFmtId="164" fontId="10" fillId="8" borderId="10" xfId="0" applyNumberFormat="1" applyFont="1" applyFill="1" applyBorder="1" applyAlignment="1">
      <alignment horizontal="right" vertical="center"/>
    </xf>
    <xf numFmtId="0" fontId="10" fillId="10" borderId="10" xfId="0" applyFont="1" applyFill="1" applyBorder="1" applyAlignment="1">
      <alignment horizontal="center" vertical="center"/>
    </xf>
    <xf numFmtId="164" fontId="10" fillId="10" borderId="10" xfId="0" applyNumberFormat="1" applyFont="1" applyFill="1" applyBorder="1" applyAlignment="1">
      <alignment horizontal="right" vertical="center"/>
    </xf>
    <xf numFmtId="0" fontId="17" fillId="10" borderId="10" xfId="0" applyFont="1" applyFill="1" applyBorder="1" applyAlignment="1">
      <alignment horizontal="left" vertical="center"/>
    </xf>
    <xf numFmtId="0" fontId="17" fillId="10" borderId="10" xfId="0" applyFont="1" applyFill="1" applyBorder="1" applyAlignment="1">
      <alignment horizontal="center" vertical="center"/>
    </xf>
    <xf numFmtId="0" fontId="17" fillId="8" borderId="10" xfId="0" applyFont="1" applyFill="1" applyBorder="1" applyAlignment="1">
      <alignment horizontal="left" vertical="center"/>
    </xf>
    <xf numFmtId="164" fontId="17" fillId="8" borderId="10" xfId="0" applyNumberFormat="1" applyFont="1" applyFill="1" applyBorder="1" applyAlignment="1">
      <alignment horizontal="right" vertical="center"/>
    </xf>
    <xf numFmtId="166" fontId="16" fillId="0" borderId="0" xfId="0" applyNumberFormat="1" applyFont="1"/>
    <xf numFmtId="168" fontId="10" fillId="10" borderId="10" xfId="0" applyNumberFormat="1" applyFont="1" applyFill="1" applyBorder="1" applyAlignment="1">
      <alignment horizontal="left" vertical="center"/>
    </xf>
    <xf numFmtId="168" fontId="16" fillId="0" borderId="0" xfId="0" applyNumberFormat="1" applyFont="1"/>
    <xf numFmtId="168" fontId="10" fillId="8" borderId="10" xfId="0" applyNumberFormat="1" applyFont="1" applyFill="1" applyBorder="1" applyAlignment="1">
      <alignment horizontal="left" vertical="center"/>
    </xf>
    <xf numFmtId="0" fontId="17" fillId="8" borderId="10" xfId="0" applyFont="1" applyFill="1" applyBorder="1" applyAlignment="1">
      <alignment horizontal="center" vertical="center"/>
    </xf>
    <xf numFmtId="168" fontId="17" fillId="8" borderId="10" xfId="0" applyNumberFormat="1" applyFont="1" applyFill="1" applyBorder="1" applyAlignment="1">
      <alignment horizontal="left" vertical="center"/>
    </xf>
    <xf numFmtId="0" fontId="19" fillId="16" borderId="11" xfId="0" applyFont="1" applyFill="1" applyBorder="1"/>
    <xf numFmtId="0" fontId="20" fillId="14" borderId="11" xfId="0" applyFont="1" applyFill="1" applyBorder="1"/>
    <xf numFmtId="0" fontId="21" fillId="0" borderId="11" xfId="0" applyFont="1" applyBorder="1"/>
    <xf numFmtId="0" fontId="22" fillId="10" borderId="10" xfId="1" applyFill="1" applyBorder="1" applyAlignment="1">
      <alignment horizontal="left" vertical="center" wrapText="1"/>
    </xf>
    <xf numFmtId="0" fontId="13" fillId="2" borderId="0" xfId="0" applyFont="1" applyFill="1" applyAlignment="1">
      <alignment horizontal="center" vertical="center"/>
    </xf>
    <xf numFmtId="0" fontId="23" fillId="3" borderId="0" xfId="0" applyFont="1" applyFill="1" applyAlignment="1">
      <alignment horizontal="center" vertical="center"/>
    </xf>
    <xf numFmtId="0" fontId="0" fillId="8" borderId="0" xfId="0" applyFill="1"/>
    <xf numFmtId="0" fontId="0" fillId="6" borderId="0" xfId="0" applyFill="1"/>
    <xf numFmtId="0" fontId="9" fillId="5" borderId="0" xfId="0" applyFont="1" applyFill="1" applyAlignment="1">
      <alignment horizontal="left" vertical="center"/>
    </xf>
    <xf numFmtId="0" fontId="11" fillId="7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left" vertical="center"/>
    </xf>
    <xf numFmtId="0" fontId="0" fillId="8" borderId="5" xfId="0" applyFill="1" applyBorder="1"/>
    <xf numFmtId="0" fontId="0" fillId="8" borderId="6" xfId="0" applyFill="1" applyBorder="1"/>
    <xf numFmtId="0" fontId="0" fillId="8" borderId="7" xfId="0" applyFill="1" applyBorder="1"/>
    <xf numFmtId="0" fontId="0" fillId="8" borderId="8" xfId="0" applyFill="1" applyBorder="1"/>
    <xf numFmtId="0" fontId="4" fillId="8" borderId="1" xfId="0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left" vertical="center"/>
    </xf>
    <xf numFmtId="0" fontId="4" fillId="8" borderId="3" xfId="0" applyFont="1" applyFill="1" applyBorder="1" applyAlignment="1">
      <alignment horizontal="left" vertical="center"/>
    </xf>
    <xf numFmtId="0" fontId="4" fillId="8" borderId="4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0" fontId="6" fillId="8" borderId="2" xfId="0" applyFont="1" applyFill="1" applyBorder="1" applyAlignment="1">
      <alignment horizontal="left" vertical="center"/>
    </xf>
    <xf numFmtId="164" fontId="7" fillId="8" borderId="3" xfId="0" applyNumberFormat="1" applyFont="1" applyFill="1" applyBorder="1" applyAlignment="1">
      <alignment horizontal="left" vertical="center"/>
    </xf>
    <xf numFmtId="0" fontId="8" fillId="8" borderId="4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/>
    <xf numFmtId="0" fontId="3" fillId="5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0" fontId="15" fillId="9" borderId="0" xfId="0" applyFont="1" applyFill="1" applyAlignment="1">
      <alignment horizontal="center" vertical="center"/>
    </xf>
    <xf numFmtId="0" fontId="18" fillId="15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9FAFB"/>
      <rgbColor rgb="FFFF00FF"/>
      <rgbColor rgb="FF00FFFF"/>
      <rgbColor rgb="FF800000"/>
      <rgbColor rgb="FF008000"/>
      <rgbColor rgb="FF000080"/>
      <rgbColor rgb="FFB5871A"/>
      <rgbColor rgb="FF800080"/>
      <rgbColor rgb="FF2A4E8A"/>
      <rgbColor rgb="FFCCCCCC"/>
      <rgbColor rgb="FF777777"/>
      <rgbColor rgb="FF9999FF"/>
      <rgbColor rgb="FFB03A3A"/>
      <rgbColor rgb="FFFFF3CD"/>
      <rgbColor rgb="FFCCE5FF"/>
      <rgbColor rgb="FF660066"/>
      <rgbColor rgb="FFFF8080"/>
      <rgbColor rgb="FF2C6FA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CF2"/>
      <rgbColor rgb="FFD4EDDA"/>
      <rgbColor rgb="FFFDF6E3"/>
      <rgbColor rgb="FFD6E4F0"/>
      <rgbColor rgb="FFEEF1F6"/>
      <rgbColor rgb="FFD9D9D9"/>
      <rgbColor rgb="FFF8D7DA"/>
      <rgbColor rgb="FF4F81BD"/>
      <rgbColor rgb="FF33CCCC"/>
      <rgbColor rgb="FF99CC00"/>
      <rgbColor rgb="FFFFCC00"/>
      <rgbColor rgb="FFFF9900"/>
      <rgbColor rgb="FFC47A2B"/>
      <rgbColor rgb="FF5A6475"/>
      <rgbColor rgb="FFB3B3B3"/>
      <rgbColor rgb="FF1B3A6B"/>
      <rgbColor rgb="FF2E8B6F"/>
      <rgbColor rgb="FF003300"/>
      <rgbColor rgb="FF333300"/>
      <rgbColor rgb="FF993300"/>
      <rgbColor rgb="FF7B4FA6"/>
      <rgbColor rgb="FF2D4E9E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2C6FAC"/>
            </a:solidFill>
            <a:ln w="0">
              <a:solidFill>
                <a:srgbClr val="2C6FAC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Summary!$A$12:$A$16</c:f>
              <c:strCache>
                <c:ptCount val="5"/>
                <c:pt idx="0">
                  <c:v>Reply to be Given</c:v>
                </c:pt>
                <c:pt idx="1">
                  <c:v>No Reply</c:v>
                </c:pt>
                <c:pt idx="2">
                  <c:v>Interested</c:v>
                </c:pt>
                <c:pt idx="3">
                  <c:v>Not Interested</c:v>
                </c:pt>
                <c:pt idx="4">
                  <c:v>Negotiating</c:v>
                </c:pt>
              </c:strCache>
            </c:strRef>
          </c:cat>
          <c:val>
            <c:numRef>
              <c:f>Summary!$B$12:$B$16</c:f>
              <c:numCache>
                <c:formatCode>General</c:formatCode>
                <c:ptCount val="5"/>
                <c:pt idx="0">
                  <c:v>4</c:v>
                </c:pt>
                <c:pt idx="1">
                  <c:v>0</c:v>
                </c:pt>
                <c:pt idx="2">
                  <c:v>5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BF-4FC5-8571-AB0BF0DA0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49610"/>
        <c:axId val="46705751"/>
      </c:barChart>
      <c:catAx>
        <c:axId val="5149610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705751"/>
        <c:crosses val="autoZero"/>
        <c:auto val="1"/>
        <c:lblAlgn val="ctr"/>
        <c:lblOffset val="100"/>
        <c:noMultiLvlLbl val="0"/>
      </c:catAx>
      <c:valAx>
        <c:axId val="46705751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496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2C6FA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3E8B-4BC9-8412-6554E637D710}"/>
              </c:ext>
            </c:extLst>
          </c:dPt>
          <c:dPt>
            <c:idx val="1"/>
            <c:bubble3D val="0"/>
            <c:spPr>
              <a:solidFill>
                <a:srgbClr val="2E8B6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3E8B-4BC9-8412-6554E637D710}"/>
              </c:ext>
            </c:extLst>
          </c:dPt>
          <c:dPt>
            <c:idx val="2"/>
            <c:bubble3D val="0"/>
            <c:spPr>
              <a:solidFill>
                <a:srgbClr val="C47A2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3E8B-4BC9-8412-6554E637D710}"/>
              </c:ext>
            </c:extLst>
          </c:dPt>
          <c:dPt>
            <c:idx val="3"/>
            <c:bubble3D val="0"/>
            <c:spPr>
              <a:solidFill>
                <a:srgbClr val="7B4FA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3E8B-4BC9-8412-6554E637D710}"/>
              </c:ext>
            </c:extLst>
          </c:dPt>
          <c:dPt>
            <c:idx val="4"/>
            <c:bubble3D val="0"/>
            <c:spPr>
              <a:solidFill>
                <a:srgbClr val="B03A3A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3E8B-4BC9-8412-6554E637D71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E8B-4BC9-8412-6554E637D710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E8B-4BC9-8412-6554E637D710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E8B-4BC9-8412-6554E637D710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E8B-4BC9-8412-6554E637D710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E8B-4BC9-8412-6554E637D7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Summary!$A$3:$A$7</c:f>
              <c:strCache>
                <c:ptCount val="5"/>
                <c:pt idx="0">
                  <c:v>Email</c:v>
                </c:pt>
                <c:pt idx="1">
                  <c:v>Referral</c:v>
                </c:pt>
                <c:pt idx="2">
                  <c:v>Exhibition</c:v>
                </c:pt>
                <c:pt idx="3">
                  <c:v>ITEC</c:v>
                </c:pt>
                <c:pt idx="4">
                  <c:v>Eximpedia</c:v>
                </c:pt>
              </c:strCache>
            </c:strRef>
          </c:cat>
          <c:val>
            <c:numRef>
              <c:f>Summary!$B$3:$B$7</c:f>
              <c:numCache>
                <c:formatCode>General</c:formatCode>
                <c:ptCount val="5"/>
                <c:pt idx="0">
                  <c:v>8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E8B-4BC9-8412-6554E637D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Summary!$E$2</c:f>
              <c:strCache>
                <c:ptCount val="1"/>
                <c:pt idx="0">
                  <c:v>Leads</c:v>
                </c:pt>
              </c:strCache>
            </c:strRef>
          </c:tx>
          <c:spPr>
            <a:solidFill>
              <a:srgbClr val="2E8B6F"/>
            </a:solidFill>
            <a:ln w="0">
              <a:solidFill>
                <a:srgbClr val="2E8B6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Summary!$D$3:$D$10</c:f>
              <c:strCache>
                <c:ptCount val="8"/>
                <c:pt idx="0">
                  <c:v>Zambia</c:v>
                </c:pt>
                <c:pt idx="1">
                  <c:v>Nigeria</c:v>
                </c:pt>
                <c:pt idx="2">
                  <c:v>Bangladesh</c:v>
                </c:pt>
                <c:pt idx="3">
                  <c:v>Togo</c:v>
                </c:pt>
                <c:pt idx="4">
                  <c:v>Iraq</c:v>
                </c:pt>
                <c:pt idx="5">
                  <c:v>Mongolia</c:v>
                </c:pt>
                <c:pt idx="6">
                  <c:v>Turkmenistan</c:v>
                </c:pt>
                <c:pt idx="7">
                  <c:v>South Africa</c:v>
                </c:pt>
              </c:strCache>
            </c:strRef>
          </c:cat>
          <c:val>
            <c:numRef>
              <c:f>Summary!$E$3:$E$10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C3-4828-ABBB-A3944C179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440616"/>
        <c:axId val="8937368"/>
      </c:barChart>
      <c:catAx>
        <c:axId val="794406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37368"/>
        <c:crosses val="autoZero"/>
        <c:auto val="1"/>
        <c:lblAlgn val="ctr"/>
        <c:lblOffset val="100"/>
        <c:noMultiLvlLbl val="0"/>
      </c:catAx>
      <c:valAx>
        <c:axId val="893736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4406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2E8B6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33A4-4172-856C-C8B70B653E9A}"/>
              </c:ext>
            </c:extLst>
          </c:dPt>
          <c:dPt>
            <c:idx val="1"/>
            <c:bubble3D val="0"/>
            <c:spPr>
              <a:solidFill>
                <a:srgbClr val="C47A2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33A4-4172-856C-C8B70B653E9A}"/>
              </c:ext>
            </c:extLst>
          </c:dPt>
          <c:dPt>
            <c:idx val="2"/>
            <c:bubble3D val="0"/>
            <c:spPr>
              <a:solidFill>
                <a:srgbClr val="7B4FA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33A4-4172-856C-C8B70B653E9A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3A4-4172-856C-C8B70B653E9A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3A4-4172-856C-C8B70B653E9A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3A4-4172-856C-C8B70B653E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Summary!$A$21:$A$23</c:f>
              <c:strCache>
                <c:ptCount val="3"/>
                <c:pt idx="0">
                  <c:v>Product Supply</c:v>
                </c:pt>
                <c:pt idx="1">
                  <c:v>Phased Collaboration</c:v>
                </c:pt>
                <c:pt idx="2">
                  <c:v>TOT and Manufacturing</c:v>
                </c:pt>
              </c:strCache>
            </c:strRef>
          </c:cat>
          <c:val>
            <c:numRef>
              <c:f>Summary!$B$21:$B$23</c:f>
              <c:numCache>
                <c:formatCode>General</c:formatCode>
                <c:ptCount val="3"/>
                <c:pt idx="0">
                  <c:v>7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A4-4172-856C-C8B70B653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Summary!$H$2</c:f>
              <c:strCache>
                <c:ptCount val="1"/>
                <c:pt idx="0">
                  <c:v>Order (₹)</c:v>
                </c:pt>
              </c:strCache>
            </c:strRef>
          </c:tx>
          <c:spPr>
            <a:solidFill>
              <a:srgbClr val="C47A2B"/>
            </a:solidFill>
            <a:ln w="0">
              <a:solidFill>
                <a:srgbClr val="C47A2B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Summary!$G$3:$G$8</c:f>
              <c:strCache>
                <c:ptCount val="6"/>
                <c:pt idx="0">
                  <c:v>Afrimed Pharmaceutical Ltd.</c:v>
                </c:pt>
                <c:pt idx="1">
                  <c:v>SJS Life Sciences Ltd.</c:v>
                </c:pt>
                <c:pt idx="2">
                  <c:v>Medikit Corporation</c:v>
                </c:pt>
                <c:pt idx="3">
                  <c:v>Kamsitoc Global Trading</c:v>
                </c:pt>
                <c:pt idx="4">
                  <c:v>JMB Pharmaceuticals</c:v>
                </c:pt>
                <c:pt idx="5">
                  <c:v>Tripalogix Pty Ltd</c:v>
                </c:pt>
              </c:strCache>
            </c:strRef>
          </c:cat>
          <c:val>
            <c:numRef>
              <c:f>Summary!$H$3:$H$8</c:f>
              <c:numCache>
                <c:formatCode>\₹#,##0</c:formatCode>
                <c:ptCount val="6"/>
                <c:pt idx="0">
                  <c:v>680256</c:v>
                </c:pt>
                <c:pt idx="1">
                  <c:v>680256</c:v>
                </c:pt>
                <c:pt idx="2">
                  <c:v>62458200</c:v>
                </c:pt>
                <c:pt idx="3">
                  <c:v>45000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69-4557-9A6A-370BC087C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560236"/>
        <c:axId val="32212044"/>
      </c:barChart>
      <c:catAx>
        <c:axId val="7556023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212044"/>
        <c:crosses val="autoZero"/>
        <c:auto val="1"/>
        <c:lblAlgn val="ctr"/>
        <c:lblOffset val="100"/>
        <c:noMultiLvlLbl val="0"/>
      </c:catAx>
      <c:valAx>
        <c:axId val="32212044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\₹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56023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0</xdr:row>
      <xdr:rowOff>0</xdr:rowOff>
    </xdr:from>
    <xdr:to>
      <xdr:col>15</xdr:col>
      <xdr:colOff>894600</xdr:colOff>
      <xdr:row>0</xdr:row>
      <xdr:rowOff>494640</xdr:rowOff>
    </xdr:to>
    <xdr:pic>
      <xdr:nvPicPr>
        <xdr:cNvPr id="6" name="Image 1" descr="Pictur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268840" y="0"/>
          <a:ext cx="894600" cy="494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4</xdr:col>
      <xdr:colOff>661680</xdr:colOff>
      <xdr:row>30</xdr:row>
      <xdr:rowOff>98280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341924</xdr:colOff>
      <xdr:row>12</xdr:row>
      <xdr:rowOff>183173</xdr:rowOff>
    </xdr:from>
    <xdr:to>
      <xdr:col>9</xdr:col>
      <xdr:colOff>744904</xdr:colOff>
      <xdr:row>31</xdr:row>
      <xdr:rowOff>97692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61057</xdr:colOff>
      <xdr:row>34</xdr:row>
      <xdr:rowOff>61057</xdr:rowOff>
    </xdr:from>
    <xdr:to>
      <xdr:col>7</xdr:col>
      <xdr:colOff>1428750</xdr:colOff>
      <xdr:row>53</xdr:row>
      <xdr:rowOff>158750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708269</xdr:colOff>
      <xdr:row>34</xdr:row>
      <xdr:rowOff>158750</xdr:rowOff>
    </xdr:from>
    <xdr:to>
      <xdr:col>16</xdr:col>
      <xdr:colOff>476249</xdr:colOff>
      <xdr:row>54</xdr:row>
      <xdr:rowOff>24423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-1</xdr:colOff>
      <xdr:row>56</xdr:row>
      <xdr:rowOff>0</xdr:rowOff>
    </xdr:from>
    <xdr:to>
      <xdr:col>8</xdr:col>
      <xdr:colOff>1115540</xdr:colOff>
      <xdr:row>77</xdr:row>
      <xdr:rowOff>51487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9</xdr:col>
      <xdr:colOff>0</xdr:colOff>
      <xdr:row>0</xdr:row>
      <xdr:rowOff>0</xdr:rowOff>
    </xdr:from>
    <xdr:to>
      <xdr:col>9</xdr:col>
      <xdr:colOff>942120</xdr:colOff>
      <xdr:row>0</xdr:row>
      <xdr:rowOff>523080</xdr:rowOff>
    </xdr:to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10995840" y="0"/>
          <a:ext cx="942120" cy="5230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sarrebwar@gmail.com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kwakujojo.7@gmail.com" TargetMode="External"/><Relationship Id="rId1" Type="http://schemas.openxmlformats.org/officeDocument/2006/relationships/hyperlink" Target="mailto:jkpandey3s@gmail.com" TargetMode="External"/><Relationship Id="rId6" Type="http://schemas.openxmlformats.org/officeDocument/2006/relationships/hyperlink" Target="mailto:gd@metl.net" TargetMode="External"/><Relationship Id="rId5" Type="http://schemas.openxmlformats.org/officeDocument/2006/relationships/hyperlink" Target="mailto:md@kamal-group.co.tz" TargetMode="External"/><Relationship Id="rId4" Type="http://schemas.openxmlformats.org/officeDocument/2006/relationships/hyperlink" Target="mailto:tripalogix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3A6B"/>
  </sheetPr>
  <dimension ref="A1:R200"/>
  <sheetViews>
    <sheetView showGridLines="0" tabSelected="1" topLeftCell="E1" zoomScale="69" zoomScaleNormal="65" workbookViewId="0">
      <pane ySplit="3" topLeftCell="A8" activePane="bottomLeft" state="frozen"/>
      <selection sqref="A1:K1"/>
      <selection pane="bottomLeft" activeCell="K14" sqref="K14"/>
    </sheetView>
  </sheetViews>
  <sheetFormatPr defaultColWidth="13" defaultRowHeight="51" x14ac:dyDescent="1.1000000000000001"/>
  <cols>
    <col min="1" max="1" width="5" style="7" customWidth="1"/>
    <col min="2" max="2" width="26" style="8" customWidth="1"/>
    <col min="3" max="3" width="20" style="8" customWidth="1"/>
    <col min="4" max="4" width="14" style="8" customWidth="1"/>
    <col min="5" max="5" width="20" style="8" customWidth="1"/>
    <col min="6" max="6" width="22" style="8" customWidth="1"/>
    <col min="7" max="7" width="16" style="8" customWidth="1"/>
    <col min="8" max="9" width="14" style="8" customWidth="1"/>
    <col min="10" max="10" width="18" style="8" customWidth="1"/>
    <col min="11" max="11" width="16" style="8" customWidth="1"/>
    <col min="12" max="12" width="26" style="8" customWidth="1"/>
    <col min="13" max="13" width="13" style="8"/>
    <col min="14" max="14" width="12" style="8" customWidth="1"/>
    <col min="15" max="15" width="9" style="8" customWidth="1"/>
    <col min="16" max="16" width="17" style="8" customWidth="1"/>
    <col min="17" max="17" width="28" style="8" customWidth="1"/>
    <col min="18" max="16384" width="13" style="8"/>
  </cols>
  <sheetData>
    <row r="1" spans="1:18" ht="49.5" customHeight="1" x14ac:dyDescent="1.1000000000000001">
      <c r="A1" s="45" t="s">
        <v>20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</row>
    <row r="2" spans="1:18" ht="19.5" customHeight="1" x14ac:dyDescent="1.1000000000000001">
      <c r="A2" s="46" t="s">
        <v>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</row>
    <row r="3" spans="1:18" ht="30" customHeight="1" x14ac:dyDescent="1.1000000000000001">
      <c r="A3" s="9" t="s">
        <v>21</v>
      </c>
      <c r="B3" s="9" t="s">
        <v>12</v>
      </c>
      <c r="C3" s="9" t="s">
        <v>17</v>
      </c>
      <c r="D3" s="9" t="s">
        <v>22</v>
      </c>
      <c r="E3" s="9" t="s">
        <v>23</v>
      </c>
      <c r="F3" s="9" t="s">
        <v>15</v>
      </c>
      <c r="G3" s="9" t="s">
        <v>24</v>
      </c>
      <c r="H3" s="9" t="s">
        <v>25</v>
      </c>
      <c r="I3" s="9" t="s">
        <v>26</v>
      </c>
      <c r="J3" s="9" t="s">
        <v>14</v>
      </c>
      <c r="K3" s="9" t="s">
        <v>27</v>
      </c>
      <c r="L3" s="9" t="s">
        <v>28</v>
      </c>
      <c r="M3" s="9" t="s">
        <v>13</v>
      </c>
      <c r="N3" s="9" t="s">
        <v>29</v>
      </c>
      <c r="O3" s="9" t="s">
        <v>30</v>
      </c>
      <c r="P3" s="9" t="s">
        <v>31</v>
      </c>
      <c r="Q3" s="9" t="s">
        <v>18</v>
      </c>
      <c r="R3" s="9" t="s">
        <v>32</v>
      </c>
    </row>
    <row r="4" spans="1:18" ht="21.75" customHeight="1" x14ac:dyDescent="1.1000000000000001">
      <c r="A4" s="10">
        <v>1</v>
      </c>
      <c r="B4" s="10" t="s">
        <v>33</v>
      </c>
      <c r="C4" s="10" t="s">
        <v>34</v>
      </c>
      <c r="D4" s="11">
        <v>46082</v>
      </c>
      <c r="E4" s="10" t="s">
        <v>35</v>
      </c>
      <c r="F4" s="10" t="s">
        <v>122</v>
      </c>
      <c r="G4" s="12">
        <v>680256</v>
      </c>
      <c r="H4" s="13">
        <f>IF(G4="","",IFERROR(G4/Settings!$B$3,""))</f>
        <v>8503.2000000000007</v>
      </c>
      <c r="I4" s="10" t="s">
        <v>36</v>
      </c>
      <c r="J4" s="14" t="s">
        <v>37</v>
      </c>
      <c r="K4" s="10" t="s">
        <v>38</v>
      </c>
      <c r="L4" s="10" t="s">
        <v>39</v>
      </c>
      <c r="M4" s="10" t="s">
        <v>40</v>
      </c>
      <c r="N4" s="10" t="s">
        <v>41</v>
      </c>
      <c r="O4" s="15" t="s">
        <v>42</v>
      </c>
      <c r="P4" s="15" t="s">
        <v>43</v>
      </c>
      <c r="Q4" s="10" t="s">
        <v>44</v>
      </c>
      <c r="R4" s="11">
        <f ca="1">IF(B4="","",TODAY())</f>
        <v>46162</v>
      </c>
    </row>
    <row r="5" spans="1:18" ht="21.75" customHeight="1" x14ac:dyDescent="1.1000000000000001">
      <c r="A5" s="16">
        <v>2</v>
      </c>
      <c r="B5" s="16" t="s">
        <v>45</v>
      </c>
      <c r="C5" s="16" t="s">
        <v>46</v>
      </c>
      <c r="D5" s="17">
        <v>46154</v>
      </c>
      <c r="E5" s="16" t="s">
        <v>47</v>
      </c>
      <c r="F5" s="16" t="s">
        <v>122</v>
      </c>
      <c r="G5" s="18">
        <v>680256</v>
      </c>
      <c r="H5" s="19">
        <f>IF(G5="","",IFERROR(G5/Settings!$B$3,""))</f>
        <v>8503.2000000000007</v>
      </c>
      <c r="I5" s="16" t="s">
        <v>36</v>
      </c>
      <c r="J5" s="20" t="s">
        <v>38</v>
      </c>
      <c r="K5" s="16" t="s">
        <v>38</v>
      </c>
      <c r="L5" s="16" t="s">
        <v>48</v>
      </c>
      <c r="M5" s="16" t="s">
        <v>49</v>
      </c>
      <c r="N5" s="16" t="s">
        <v>50</v>
      </c>
      <c r="O5" s="21" t="s">
        <v>51</v>
      </c>
      <c r="P5" s="21" t="s">
        <v>52</v>
      </c>
      <c r="Q5" s="16" t="s">
        <v>44</v>
      </c>
      <c r="R5" s="17">
        <f ca="1">IF(B5="","",TODAY())</f>
        <v>46162</v>
      </c>
    </row>
    <row r="6" spans="1:18" ht="21.75" customHeight="1" x14ac:dyDescent="1.1000000000000001">
      <c r="A6" s="10">
        <v>3</v>
      </c>
      <c r="B6" s="10" t="s">
        <v>53</v>
      </c>
      <c r="C6" s="10" t="s">
        <v>54</v>
      </c>
      <c r="D6" s="11">
        <v>46119</v>
      </c>
      <c r="E6" s="10" t="s">
        <v>55</v>
      </c>
      <c r="F6" s="10" t="s">
        <v>122</v>
      </c>
      <c r="G6" s="12">
        <v>62458200</v>
      </c>
      <c r="H6" s="13">
        <f>IF(G6="","",IFERROR(G6/Settings!$B$3,""))</f>
        <v>780727.5</v>
      </c>
      <c r="I6" s="10" t="s">
        <v>36</v>
      </c>
      <c r="J6" s="22" t="s">
        <v>56</v>
      </c>
      <c r="K6" s="10" t="s">
        <v>57</v>
      </c>
      <c r="L6" s="10" t="s">
        <v>58</v>
      </c>
      <c r="M6" s="10" t="s">
        <v>59</v>
      </c>
      <c r="N6" s="10" t="s">
        <v>60</v>
      </c>
      <c r="O6" s="15" t="s">
        <v>61</v>
      </c>
      <c r="P6" s="15" t="s">
        <v>52</v>
      </c>
      <c r="Q6" s="10" t="s">
        <v>62</v>
      </c>
      <c r="R6" s="11">
        <f ca="1">IF(B6="","",TODAY())</f>
        <v>46162</v>
      </c>
    </row>
    <row r="7" spans="1:18" x14ac:dyDescent="1.1000000000000001">
      <c r="A7" s="16">
        <v>4</v>
      </c>
      <c r="B7" s="16" t="s">
        <v>63</v>
      </c>
      <c r="C7" s="16" t="s">
        <v>64</v>
      </c>
      <c r="D7" s="17">
        <v>46027</v>
      </c>
      <c r="E7" s="16" t="s">
        <v>55</v>
      </c>
      <c r="F7" s="16" t="s">
        <v>122</v>
      </c>
      <c r="G7" s="18">
        <v>45000</v>
      </c>
      <c r="H7" s="19">
        <f>IF(G7="","",IFERROR(G7/Settings!$B$3,""))</f>
        <v>562.5</v>
      </c>
      <c r="I7" s="16" t="s">
        <v>36</v>
      </c>
      <c r="J7" s="20" t="s">
        <v>37</v>
      </c>
      <c r="K7" s="16" t="s">
        <v>38</v>
      </c>
      <c r="L7" s="16" t="s">
        <v>66</v>
      </c>
      <c r="M7" s="16" t="s">
        <v>67</v>
      </c>
      <c r="N7" s="16" t="s">
        <v>68</v>
      </c>
      <c r="O7" s="16">
        <v>42041</v>
      </c>
      <c r="P7" s="21" t="s">
        <v>69</v>
      </c>
      <c r="Q7" s="16" t="s">
        <v>70</v>
      </c>
      <c r="R7" s="17">
        <f ca="1">IF(B7="","",TODAY())</f>
        <v>46162</v>
      </c>
    </row>
    <row r="8" spans="1:18" ht="21.75" customHeight="1" x14ac:dyDescent="1.1000000000000001">
      <c r="A8" s="10">
        <v>5</v>
      </c>
      <c r="B8" s="10"/>
      <c r="C8" s="10" t="s">
        <v>71</v>
      </c>
      <c r="D8" s="11"/>
      <c r="E8" s="10"/>
      <c r="F8" s="10" t="s">
        <v>122</v>
      </c>
      <c r="G8" s="12"/>
      <c r="H8" s="13" t="str">
        <f>IF(G8="","",IFERROR(G8/Settings!$B$3,""))</f>
        <v/>
      </c>
      <c r="I8" s="10" t="s">
        <v>102</v>
      </c>
      <c r="J8" s="23" t="s">
        <v>72</v>
      </c>
      <c r="K8" s="10" t="s">
        <v>65</v>
      </c>
      <c r="L8" s="10" t="s">
        <v>73</v>
      </c>
      <c r="M8" s="10" t="s">
        <v>74</v>
      </c>
      <c r="N8" s="10"/>
      <c r="O8" s="15"/>
      <c r="P8" s="15"/>
      <c r="Q8" s="10" t="s">
        <v>70</v>
      </c>
      <c r="R8" s="11"/>
    </row>
    <row r="9" spans="1:18" ht="21.75" customHeight="1" x14ac:dyDescent="1.1000000000000001">
      <c r="A9" s="16">
        <v>6</v>
      </c>
      <c r="B9" s="16" t="s">
        <v>75</v>
      </c>
      <c r="C9" s="16" t="s">
        <v>76</v>
      </c>
      <c r="D9" s="17">
        <v>46079</v>
      </c>
      <c r="E9" s="16" t="s">
        <v>77</v>
      </c>
      <c r="F9" s="16" t="s">
        <v>123</v>
      </c>
      <c r="G9" s="18"/>
      <c r="H9" s="19" t="str">
        <f>IF(G9="","",IFERROR(G9/Settings!$B$3,""))</f>
        <v/>
      </c>
      <c r="I9" s="16" t="s">
        <v>36</v>
      </c>
      <c r="J9" s="23" t="s">
        <v>72</v>
      </c>
      <c r="K9" s="16" t="s">
        <v>65</v>
      </c>
      <c r="L9" s="16" t="s">
        <v>78</v>
      </c>
      <c r="M9" s="16" t="s">
        <v>79</v>
      </c>
      <c r="N9" s="16"/>
      <c r="O9" s="21"/>
      <c r="P9" s="21"/>
      <c r="Q9" s="16" t="s">
        <v>80</v>
      </c>
      <c r="R9" s="17"/>
    </row>
    <row r="10" spans="1:18" ht="31.5" customHeight="1" x14ac:dyDescent="1.1000000000000001">
      <c r="A10" s="10">
        <v>7</v>
      </c>
      <c r="B10" s="10" t="s">
        <v>81</v>
      </c>
      <c r="C10" s="10" t="s">
        <v>82</v>
      </c>
      <c r="D10" s="11">
        <v>46093</v>
      </c>
      <c r="E10" s="10" t="s">
        <v>83</v>
      </c>
      <c r="F10" s="10" t="s">
        <v>122</v>
      </c>
      <c r="G10" s="12"/>
      <c r="H10" s="13" t="str">
        <f>IF(G10="","",IFERROR(G10/Settings!$B$3,""))</f>
        <v/>
      </c>
      <c r="I10" s="10" t="s">
        <v>36</v>
      </c>
      <c r="J10" s="23" t="s">
        <v>72</v>
      </c>
      <c r="K10" s="10" t="s">
        <v>65</v>
      </c>
      <c r="L10" s="10" t="s">
        <v>84</v>
      </c>
      <c r="M10" s="10" t="s">
        <v>85</v>
      </c>
      <c r="N10" s="10"/>
      <c r="O10" s="15"/>
      <c r="P10" s="15" t="s">
        <v>86</v>
      </c>
      <c r="Q10" s="10" t="s">
        <v>80</v>
      </c>
      <c r="R10" s="11"/>
    </row>
    <row r="11" spans="1:18" ht="21.75" customHeight="1" x14ac:dyDescent="1.1000000000000001">
      <c r="A11" s="16">
        <v>8</v>
      </c>
      <c r="B11" s="16" t="s">
        <v>87</v>
      </c>
      <c r="C11" s="16" t="s">
        <v>88</v>
      </c>
      <c r="D11" s="17">
        <v>46076</v>
      </c>
      <c r="E11" s="16" t="s">
        <v>55</v>
      </c>
      <c r="F11" s="16" t="s">
        <v>122</v>
      </c>
      <c r="G11" s="18"/>
      <c r="H11" s="19" t="str">
        <f>IF(G11="","",IFERROR(G11/Settings!$B$3,""))</f>
        <v/>
      </c>
      <c r="I11" s="16" t="s">
        <v>36</v>
      </c>
      <c r="J11" s="23" t="s">
        <v>72</v>
      </c>
      <c r="K11" s="16" t="s">
        <v>65</v>
      </c>
      <c r="L11" s="16" t="s">
        <v>89</v>
      </c>
      <c r="M11" s="16" t="s">
        <v>90</v>
      </c>
      <c r="N11" s="16"/>
      <c r="O11" s="21"/>
      <c r="P11" s="21" t="s">
        <v>91</v>
      </c>
      <c r="Q11" s="16" t="s">
        <v>80</v>
      </c>
      <c r="R11" s="17"/>
    </row>
    <row r="12" spans="1:18" ht="21.75" customHeight="1" x14ac:dyDescent="1.1000000000000001">
      <c r="A12" s="10">
        <v>9</v>
      </c>
      <c r="B12" s="10" t="s">
        <v>133</v>
      </c>
      <c r="C12" s="10" t="s">
        <v>134</v>
      </c>
      <c r="D12" s="11">
        <v>46160</v>
      </c>
      <c r="E12" s="10"/>
      <c r="F12" s="10" t="s">
        <v>123</v>
      </c>
      <c r="G12" s="12"/>
      <c r="H12" s="13" t="str">
        <f>IF(G12="","",IFERROR(G12/Settings!$B$3,""))</f>
        <v/>
      </c>
      <c r="I12" s="10" t="s">
        <v>141</v>
      </c>
      <c r="J12" s="10" t="s">
        <v>37</v>
      </c>
      <c r="K12" s="10" t="s">
        <v>65</v>
      </c>
      <c r="L12" s="44" t="s">
        <v>135</v>
      </c>
      <c r="M12" t="s">
        <v>115</v>
      </c>
      <c r="N12" t="s">
        <v>136</v>
      </c>
      <c r="O12">
        <v>10392</v>
      </c>
      <c r="P12" s="15" t="s">
        <v>137</v>
      </c>
      <c r="Q12" s="10" t="s">
        <v>138</v>
      </c>
      <c r="R12" s="11"/>
    </row>
    <row r="13" spans="1:18" ht="21.75" customHeight="1" x14ac:dyDescent="1.1000000000000001">
      <c r="A13" s="16">
        <v>10</v>
      </c>
      <c r="B13" s="10" t="s">
        <v>139</v>
      </c>
      <c r="C13" s="10" t="s">
        <v>140</v>
      </c>
      <c r="D13" s="11">
        <v>46160</v>
      </c>
      <c r="E13" s="10"/>
      <c r="F13" s="10" t="s">
        <v>123</v>
      </c>
      <c r="G13" s="11"/>
      <c r="H13" s="10" t="str">
        <f>IF(G13="","",IFERROR(G13/Settings!$B$3,""))</f>
        <v/>
      </c>
      <c r="I13" s="10" t="s">
        <v>141</v>
      </c>
      <c r="J13" s="11" t="s">
        <v>37</v>
      </c>
      <c r="K13" s="10" t="s">
        <v>65</v>
      </c>
      <c r="L13" s="44" t="s">
        <v>144</v>
      </c>
      <c r="M13" s="11" t="s">
        <v>142</v>
      </c>
      <c r="N13" s="10" t="s">
        <v>136</v>
      </c>
      <c r="O13" s="10">
        <v>20660</v>
      </c>
      <c r="P13" s="11" t="s">
        <v>143</v>
      </c>
      <c r="Q13" s="10" t="s">
        <v>138</v>
      </c>
      <c r="R13" s="10"/>
    </row>
    <row r="14" spans="1:18" ht="21.75" customHeight="1" x14ac:dyDescent="1.1000000000000001">
      <c r="A14" s="10">
        <v>11</v>
      </c>
      <c r="B14" s="10" t="s">
        <v>145</v>
      </c>
      <c r="C14" s="10" t="s">
        <v>146</v>
      </c>
      <c r="D14" s="11">
        <v>46162</v>
      </c>
      <c r="E14" s="10" t="s">
        <v>147</v>
      </c>
      <c r="F14" s="10" t="s">
        <v>124</v>
      </c>
      <c r="G14" s="12"/>
      <c r="H14" s="13" t="str">
        <f>IF(G14="","",IFERROR(G14/Settings!$B$3,""))</f>
        <v/>
      </c>
      <c r="I14" s="10" t="s">
        <v>36</v>
      </c>
      <c r="J14" s="10" t="s">
        <v>37</v>
      </c>
      <c r="K14" s="10" t="s">
        <v>150</v>
      </c>
      <c r="L14" s="10"/>
      <c r="M14" s="10" t="s">
        <v>148</v>
      </c>
      <c r="N14" s="10" t="s">
        <v>149</v>
      </c>
      <c r="O14" s="15"/>
      <c r="P14" s="15"/>
      <c r="Q14" s="10"/>
      <c r="R14" s="11"/>
    </row>
    <row r="15" spans="1:18" ht="21.75" customHeight="1" x14ac:dyDescent="1.1000000000000001">
      <c r="A15" s="16">
        <v>12</v>
      </c>
      <c r="B15" s="16"/>
      <c r="C15" s="16"/>
      <c r="D15" s="17"/>
      <c r="E15" s="16"/>
      <c r="F15" s="16"/>
      <c r="G15" s="18"/>
      <c r="H15" s="19" t="str">
        <f>IF(G15="","",IFERROR(G15/Settings!$B$3,""))</f>
        <v/>
      </c>
      <c r="I15" s="16"/>
      <c r="J15" s="16"/>
      <c r="K15" s="16"/>
      <c r="L15" s="16"/>
      <c r="M15" s="16"/>
      <c r="N15" s="16"/>
      <c r="O15" s="21"/>
      <c r="P15" s="21"/>
      <c r="Q15" s="16"/>
      <c r="R15" s="17"/>
    </row>
    <row r="16" spans="1:18" ht="21.75" customHeight="1" x14ac:dyDescent="1.1000000000000001">
      <c r="A16" s="10">
        <v>13</v>
      </c>
      <c r="B16" s="10"/>
      <c r="C16" s="10"/>
      <c r="D16" s="11"/>
      <c r="E16" s="10"/>
      <c r="F16" s="10"/>
      <c r="G16" s="12"/>
      <c r="H16" s="13" t="str">
        <f>IF(G16="","",IFERROR(G16/Settings!$B$3,""))</f>
        <v/>
      </c>
      <c r="I16" s="10"/>
      <c r="J16" s="10"/>
      <c r="K16" s="10"/>
      <c r="L16" s="10"/>
      <c r="M16" s="10"/>
      <c r="N16" s="10"/>
      <c r="O16" s="15"/>
      <c r="P16" s="15"/>
      <c r="Q16" s="10"/>
      <c r="R16" s="11"/>
    </row>
    <row r="17" spans="1:18" ht="21.75" customHeight="1" x14ac:dyDescent="1.1000000000000001">
      <c r="A17" s="16">
        <v>14</v>
      </c>
      <c r="B17" s="16"/>
      <c r="C17" s="16"/>
      <c r="D17" s="17"/>
      <c r="E17" s="16"/>
      <c r="F17" s="16"/>
      <c r="G17" s="18"/>
      <c r="H17" s="19" t="str">
        <f>IF(G17="","",IFERROR(G17/Settings!$B$3,""))</f>
        <v/>
      </c>
      <c r="I17" s="16"/>
      <c r="J17" s="16"/>
      <c r="K17" s="16"/>
      <c r="L17" s="16"/>
      <c r="M17" s="16"/>
      <c r="N17" s="16"/>
      <c r="O17" s="21"/>
      <c r="P17" s="21"/>
      <c r="Q17" s="16"/>
      <c r="R17" s="17"/>
    </row>
    <row r="18" spans="1:18" ht="21.75" customHeight="1" x14ac:dyDescent="1.1000000000000001">
      <c r="A18" s="10">
        <v>15</v>
      </c>
      <c r="B18" s="10"/>
      <c r="C18" s="10"/>
      <c r="D18" s="11"/>
      <c r="E18" s="10"/>
      <c r="F18" s="10"/>
      <c r="G18" s="12"/>
      <c r="H18" s="13" t="str">
        <f>IF(G18="","",IFERROR(G18/Settings!$B$3,""))</f>
        <v/>
      </c>
      <c r="I18" s="10"/>
      <c r="J18" s="10"/>
      <c r="K18" s="10"/>
      <c r="L18" s="10"/>
      <c r="M18" s="10"/>
      <c r="N18" s="10"/>
      <c r="O18" s="15"/>
      <c r="P18" s="15"/>
      <c r="Q18" s="10"/>
      <c r="R18" s="11"/>
    </row>
    <row r="19" spans="1:18" x14ac:dyDescent="1.1000000000000001">
      <c r="H19" s="24" t="str">
        <f>IF(G19="","",IFERROR(G19/Settings!$B$3,""))</f>
        <v/>
      </c>
    </row>
    <row r="20" spans="1:18" x14ac:dyDescent="1.1000000000000001">
      <c r="H20" s="24" t="str">
        <f>IF(G20="","",IFERROR(G20/Settings!$B$3,""))</f>
        <v/>
      </c>
    </row>
    <row r="21" spans="1:18" x14ac:dyDescent="1.1000000000000001">
      <c r="H21" s="24" t="str">
        <f>IF(G21="","",IFERROR(G21/Settings!$B$3,""))</f>
        <v/>
      </c>
    </row>
    <row r="22" spans="1:18" x14ac:dyDescent="1.1000000000000001">
      <c r="H22" s="24" t="str">
        <f>IF(G22="","",IFERROR(G22/Settings!$B$3,""))</f>
        <v/>
      </c>
    </row>
    <row r="23" spans="1:18" x14ac:dyDescent="1.1000000000000001">
      <c r="H23" s="24" t="str">
        <f>IF(G23="","",IFERROR(G23/Settings!$B$3,""))</f>
        <v/>
      </c>
    </row>
    <row r="24" spans="1:18" x14ac:dyDescent="1.1000000000000001">
      <c r="H24" s="24" t="str">
        <f>IF(G24="","",IFERROR(G24/Settings!$B$3,""))</f>
        <v/>
      </c>
    </row>
    <row r="25" spans="1:18" x14ac:dyDescent="1.1000000000000001">
      <c r="H25" s="24" t="str">
        <f>IF(G25="","",IFERROR(G25/Settings!$B$3,""))</f>
        <v/>
      </c>
    </row>
    <row r="26" spans="1:18" x14ac:dyDescent="1.1000000000000001">
      <c r="H26" s="24" t="str">
        <f>IF(G26="","",IFERROR(G26/Settings!$B$3,""))</f>
        <v/>
      </c>
    </row>
    <row r="27" spans="1:18" x14ac:dyDescent="1.1000000000000001">
      <c r="H27" s="24" t="str">
        <f>IF(G27="","",IFERROR(G27/Settings!$B$3,""))</f>
        <v/>
      </c>
    </row>
    <row r="28" spans="1:18" x14ac:dyDescent="1.1000000000000001">
      <c r="H28" s="24" t="str">
        <f>IF(G28="","",IFERROR(G28/Settings!$B$3,""))</f>
        <v/>
      </c>
    </row>
    <row r="29" spans="1:18" x14ac:dyDescent="1.1000000000000001">
      <c r="H29" s="24" t="str">
        <f>IF(G29="","",IFERROR(G29/Settings!$B$3,""))</f>
        <v/>
      </c>
    </row>
    <row r="30" spans="1:18" x14ac:dyDescent="1.1000000000000001">
      <c r="H30" s="24" t="str">
        <f>IF(G30="","",IFERROR(G30/Settings!$B$3,""))</f>
        <v/>
      </c>
    </row>
    <row r="31" spans="1:18" x14ac:dyDescent="1.1000000000000001">
      <c r="H31" s="24" t="str">
        <f>IF(G31="","",IFERROR(G31/Settings!$B$3,""))</f>
        <v/>
      </c>
    </row>
    <row r="32" spans="1:18" x14ac:dyDescent="1.1000000000000001">
      <c r="H32" s="24" t="str">
        <f>IF(G32="","",IFERROR(G32/Settings!$B$3,""))</f>
        <v/>
      </c>
    </row>
    <row r="33" spans="8:8" x14ac:dyDescent="1.1000000000000001">
      <c r="H33" s="24" t="str">
        <f>IF(G33="","",IFERROR(G33/Settings!$B$3,""))</f>
        <v/>
      </c>
    </row>
    <row r="34" spans="8:8" x14ac:dyDescent="1.1000000000000001">
      <c r="H34" s="24" t="str">
        <f>IF(G34="","",IFERROR(G34/Settings!$B$3,""))</f>
        <v/>
      </c>
    </row>
    <row r="35" spans="8:8" x14ac:dyDescent="1.1000000000000001">
      <c r="H35" s="24" t="str">
        <f>IF(G35="","",IFERROR(G35/Settings!$B$3,""))</f>
        <v/>
      </c>
    </row>
    <row r="36" spans="8:8" x14ac:dyDescent="1.1000000000000001">
      <c r="H36" s="24" t="str">
        <f>IF(G36="","",IFERROR(G36/Settings!$B$3,""))</f>
        <v/>
      </c>
    </row>
    <row r="37" spans="8:8" x14ac:dyDescent="1.1000000000000001">
      <c r="H37" s="24" t="str">
        <f>IF(G37="","",IFERROR(G37/Settings!$B$3,""))</f>
        <v/>
      </c>
    </row>
    <row r="38" spans="8:8" x14ac:dyDescent="1.1000000000000001">
      <c r="H38" s="24" t="str">
        <f>IF(G38="","",IFERROR(G38/Settings!$B$3,""))</f>
        <v/>
      </c>
    </row>
    <row r="39" spans="8:8" x14ac:dyDescent="1.1000000000000001">
      <c r="H39" s="24" t="str">
        <f>IF(G39="","",IFERROR(G39/Settings!$B$3,""))</f>
        <v/>
      </c>
    </row>
    <row r="40" spans="8:8" x14ac:dyDescent="1.1000000000000001">
      <c r="H40" s="24" t="str">
        <f>IF(G40="","",IFERROR(G40/Settings!$B$3,""))</f>
        <v/>
      </c>
    </row>
    <row r="41" spans="8:8" x14ac:dyDescent="1.1000000000000001">
      <c r="H41" s="24" t="str">
        <f>IF(G41="","",IFERROR(G41/Settings!$B$3,""))</f>
        <v/>
      </c>
    </row>
    <row r="42" spans="8:8" x14ac:dyDescent="1.1000000000000001">
      <c r="H42" s="24" t="str">
        <f>IF(G42="","",IFERROR(G42/Settings!$B$3,""))</f>
        <v/>
      </c>
    </row>
    <row r="43" spans="8:8" x14ac:dyDescent="1.1000000000000001">
      <c r="H43" s="24" t="str">
        <f>IF(G43="","",IFERROR(G43/Settings!$B$3,""))</f>
        <v/>
      </c>
    </row>
    <row r="44" spans="8:8" x14ac:dyDescent="1.1000000000000001">
      <c r="H44" s="24" t="str">
        <f>IF(G44="","",IFERROR(G44/Settings!$B$3,""))</f>
        <v/>
      </c>
    </row>
    <row r="45" spans="8:8" x14ac:dyDescent="1.1000000000000001">
      <c r="H45" s="24" t="str">
        <f>IF(G45="","",IFERROR(G45/Settings!$B$3,""))</f>
        <v/>
      </c>
    </row>
    <row r="46" spans="8:8" x14ac:dyDescent="1.1000000000000001">
      <c r="H46" s="24" t="str">
        <f>IF(G46="","",IFERROR(G46/Settings!$B$3,""))</f>
        <v/>
      </c>
    </row>
    <row r="47" spans="8:8" x14ac:dyDescent="1.1000000000000001">
      <c r="H47" s="24" t="str">
        <f>IF(G47="","",IFERROR(G47/Settings!$B$3,""))</f>
        <v/>
      </c>
    </row>
    <row r="48" spans="8:8" x14ac:dyDescent="1.1000000000000001">
      <c r="H48" s="24" t="str">
        <f>IF(G48="","",IFERROR(G48/Settings!$B$3,""))</f>
        <v/>
      </c>
    </row>
    <row r="49" spans="8:8" x14ac:dyDescent="1.1000000000000001">
      <c r="H49" s="24" t="str">
        <f>IF(G49="","",IFERROR(G49/Settings!$B$3,""))</f>
        <v/>
      </c>
    </row>
    <row r="50" spans="8:8" x14ac:dyDescent="1.1000000000000001">
      <c r="H50" s="24" t="str">
        <f>IF(G50="","",IFERROR(G50/Settings!$B$3,""))</f>
        <v/>
      </c>
    </row>
    <row r="51" spans="8:8" x14ac:dyDescent="1.1000000000000001">
      <c r="H51" s="24" t="str">
        <f>IF(G51="","",IFERROR(G51/Settings!$B$3,""))</f>
        <v/>
      </c>
    </row>
    <row r="52" spans="8:8" x14ac:dyDescent="1.1000000000000001">
      <c r="H52" s="24" t="str">
        <f>IF(G52="","",IFERROR(G52/Settings!$B$3,""))</f>
        <v/>
      </c>
    </row>
    <row r="53" spans="8:8" x14ac:dyDescent="1.1000000000000001">
      <c r="H53" s="24" t="str">
        <f>IF(G53="","",IFERROR(G53/Settings!$B$3,""))</f>
        <v/>
      </c>
    </row>
    <row r="54" spans="8:8" x14ac:dyDescent="1.1000000000000001">
      <c r="H54" s="24" t="str">
        <f>IF(G54="","",IFERROR(G54/Settings!$B$3,""))</f>
        <v/>
      </c>
    </row>
    <row r="55" spans="8:8" x14ac:dyDescent="1.1000000000000001">
      <c r="H55" s="24" t="str">
        <f>IF(G55="","",IFERROR(G55/Settings!$B$3,""))</f>
        <v/>
      </c>
    </row>
    <row r="56" spans="8:8" x14ac:dyDescent="1.1000000000000001">
      <c r="H56" s="24" t="str">
        <f>IF(G56="","",IFERROR(G56/Settings!$B$3,""))</f>
        <v/>
      </c>
    </row>
    <row r="57" spans="8:8" x14ac:dyDescent="1.1000000000000001">
      <c r="H57" s="24" t="str">
        <f>IF(G57="","",IFERROR(G57/Settings!$B$3,""))</f>
        <v/>
      </c>
    </row>
    <row r="58" spans="8:8" x14ac:dyDescent="1.1000000000000001">
      <c r="H58" s="24" t="str">
        <f>IF(G58="","",IFERROR(G58/Settings!$B$3,""))</f>
        <v/>
      </c>
    </row>
    <row r="59" spans="8:8" x14ac:dyDescent="1.1000000000000001">
      <c r="H59" s="24" t="str">
        <f>IF(G59="","",IFERROR(G59/Settings!$B$3,""))</f>
        <v/>
      </c>
    </row>
    <row r="60" spans="8:8" x14ac:dyDescent="1.1000000000000001">
      <c r="H60" s="24" t="str">
        <f>IF(G60="","",IFERROR(G60/Settings!$B$3,""))</f>
        <v/>
      </c>
    </row>
    <row r="61" spans="8:8" x14ac:dyDescent="1.1000000000000001">
      <c r="H61" s="24" t="str">
        <f>IF(G61="","",IFERROR(G61/Settings!$B$3,""))</f>
        <v/>
      </c>
    </row>
    <row r="62" spans="8:8" x14ac:dyDescent="1.1000000000000001">
      <c r="H62" s="24" t="str">
        <f>IF(G62="","",IFERROR(G62/Settings!$B$3,""))</f>
        <v/>
      </c>
    </row>
    <row r="63" spans="8:8" x14ac:dyDescent="1.1000000000000001">
      <c r="H63" s="24" t="str">
        <f>IF(G63="","",IFERROR(G63/Settings!$B$3,""))</f>
        <v/>
      </c>
    </row>
    <row r="64" spans="8:8" x14ac:dyDescent="1.1000000000000001">
      <c r="H64" s="24" t="str">
        <f>IF(G64="","",IFERROR(G64/Settings!$B$3,""))</f>
        <v/>
      </c>
    </row>
    <row r="65" spans="8:8" x14ac:dyDescent="1.1000000000000001">
      <c r="H65" s="24" t="str">
        <f>IF(G65="","",IFERROR(G65/Settings!$B$3,""))</f>
        <v/>
      </c>
    </row>
    <row r="66" spans="8:8" x14ac:dyDescent="1.1000000000000001">
      <c r="H66" s="24" t="str">
        <f>IF(G66="","",IFERROR(G66/Settings!$B$3,""))</f>
        <v/>
      </c>
    </row>
    <row r="67" spans="8:8" x14ac:dyDescent="1.1000000000000001">
      <c r="H67" s="24" t="str">
        <f>IF(G67="","",IFERROR(G67/Settings!$B$3,""))</f>
        <v/>
      </c>
    </row>
    <row r="68" spans="8:8" x14ac:dyDescent="1.1000000000000001">
      <c r="H68" s="24" t="str">
        <f>IF(G68="","",IFERROR(G68/Settings!$B$3,""))</f>
        <v/>
      </c>
    </row>
    <row r="69" spans="8:8" x14ac:dyDescent="1.1000000000000001">
      <c r="H69" s="24" t="str">
        <f>IF(G69="","",IFERROR(G69/Settings!$B$3,""))</f>
        <v/>
      </c>
    </row>
    <row r="70" spans="8:8" x14ac:dyDescent="1.1000000000000001">
      <c r="H70" s="24" t="str">
        <f>IF(G70="","",IFERROR(G70/Settings!$B$3,""))</f>
        <v/>
      </c>
    </row>
    <row r="71" spans="8:8" x14ac:dyDescent="1.1000000000000001">
      <c r="H71" s="24" t="str">
        <f>IF(G71="","",IFERROR(G71/Settings!$B$3,""))</f>
        <v/>
      </c>
    </row>
    <row r="72" spans="8:8" x14ac:dyDescent="1.1000000000000001">
      <c r="H72" s="24" t="str">
        <f>IF(G72="","",IFERROR(G72/Settings!$B$3,""))</f>
        <v/>
      </c>
    </row>
    <row r="73" spans="8:8" x14ac:dyDescent="1.1000000000000001">
      <c r="H73" s="24" t="str">
        <f>IF(G73="","",IFERROR(G73/Settings!$B$3,""))</f>
        <v/>
      </c>
    </row>
    <row r="74" spans="8:8" x14ac:dyDescent="1.1000000000000001">
      <c r="H74" s="24" t="str">
        <f>IF(G74="","",IFERROR(G74/Settings!$B$3,""))</f>
        <v/>
      </c>
    </row>
    <row r="75" spans="8:8" x14ac:dyDescent="1.1000000000000001">
      <c r="H75" s="24" t="str">
        <f>IF(G75="","",IFERROR(G75/Settings!$B$3,""))</f>
        <v/>
      </c>
    </row>
    <row r="76" spans="8:8" x14ac:dyDescent="1.1000000000000001">
      <c r="H76" s="24" t="str">
        <f>IF(G76="","",IFERROR(G76/Settings!$B$3,""))</f>
        <v/>
      </c>
    </row>
    <row r="77" spans="8:8" x14ac:dyDescent="1.1000000000000001">
      <c r="H77" s="24" t="str">
        <f>IF(G77="","",IFERROR(G77/Settings!$B$3,""))</f>
        <v/>
      </c>
    </row>
    <row r="78" spans="8:8" x14ac:dyDescent="1.1000000000000001">
      <c r="H78" s="24" t="str">
        <f>IF(G78="","",IFERROR(G78/Settings!$B$3,""))</f>
        <v/>
      </c>
    </row>
    <row r="79" spans="8:8" x14ac:dyDescent="1.1000000000000001">
      <c r="H79" s="24" t="str">
        <f>IF(G79="","",IFERROR(G79/Settings!$B$3,""))</f>
        <v/>
      </c>
    </row>
    <row r="80" spans="8:8" x14ac:dyDescent="1.1000000000000001">
      <c r="H80" s="24" t="str">
        <f>IF(G80="","",IFERROR(G80/Settings!$B$3,""))</f>
        <v/>
      </c>
    </row>
    <row r="81" spans="8:8" x14ac:dyDescent="1.1000000000000001">
      <c r="H81" s="24" t="str">
        <f>IF(G81="","",IFERROR(G81/Settings!$B$3,""))</f>
        <v/>
      </c>
    </row>
    <row r="82" spans="8:8" x14ac:dyDescent="1.1000000000000001">
      <c r="H82" s="24" t="str">
        <f>IF(G82="","",IFERROR(G82/Settings!$B$3,""))</f>
        <v/>
      </c>
    </row>
    <row r="83" spans="8:8" x14ac:dyDescent="1.1000000000000001">
      <c r="H83" s="24" t="str">
        <f>IF(G83="","",IFERROR(G83/Settings!$B$3,""))</f>
        <v/>
      </c>
    </row>
    <row r="84" spans="8:8" x14ac:dyDescent="1.1000000000000001">
      <c r="H84" s="24" t="str">
        <f>IF(G84="","",IFERROR(G84/Settings!$B$3,""))</f>
        <v/>
      </c>
    </row>
    <row r="85" spans="8:8" x14ac:dyDescent="1.1000000000000001">
      <c r="H85" s="24" t="str">
        <f>IF(G85="","",IFERROR(G85/Settings!$B$3,""))</f>
        <v/>
      </c>
    </row>
    <row r="86" spans="8:8" x14ac:dyDescent="1.1000000000000001">
      <c r="H86" s="24" t="str">
        <f>IF(G86="","",IFERROR(G86/Settings!$B$3,""))</f>
        <v/>
      </c>
    </row>
    <row r="87" spans="8:8" x14ac:dyDescent="1.1000000000000001">
      <c r="H87" s="24" t="str">
        <f>IF(G87="","",IFERROR(G87/Settings!$B$3,""))</f>
        <v/>
      </c>
    </row>
    <row r="88" spans="8:8" x14ac:dyDescent="1.1000000000000001">
      <c r="H88" s="24" t="str">
        <f>IF(G88="","",IFERROR(G88/Settings!$B$3,""))</f>
        <v/>
      </c>
    </row>
    <row r="89" spans="8:8" x14ac:dyDescent="1.1000000000000001">
      <c r="H89" s="24" t="str">
        <f>IF(G89="","",IFERROR(G89/Settings!$B$3,""))</f>
        <v/>
      </c>
    </row>
    <row r="90" spans="8:8" x14ac:dyDescent="1.1000000000000001">
      <c r="H90" s="24" t="str">
        <f>IF(G90="","",IFERROR(G90/Settings!$B$3,""))</f>
        <v/>
      </c>
    </row>
    <row r="91" spans="8:8" x14ac:dyDescent="1.1000000000000001">
      <c r="H91" s="24" t="str">
        <f>IF(G91="","",IFERROR(G91/Settings!$B$3,""))</f>
        <v/>
      </c>
    </row>
    <row r="92" spans="8:8" x14ac:dyDescent="1.1000000000000001">
      <c r="H92" s="24" t="str">
        <f>IF(G92="","",IFERROR(G92/Settings!$B$3,""))</f>
        <v/>
      </c>
    </row>
    <row r="93" spans="8:8" x14ac:dyDescent="1.1000000000000001">
      <c r="H93" s="24" t="str">
        <f>IF(G93="","",IFERROR(G93/Settings!$B$3,""))</f>
        <v/>
      </c>
    </row>
    <row r="94" spans="8:8" x14ac:dyDescent="1.1000000000000001">
      <c r="H94" s="24" t="str">
        <f>IF(G94="","",IFERROR(G94/Settings!$B$3,""))</f>
        <v/>
      </c>
    </row>
    <row r="95" spans="8:8" x14ac:dyDescent="1.1000000000000001">
      <c r="H95" s="24" t="str">
        <f>IF(G95="","",IFERROR(G95/Settings!$B$3,""))</f>
        <v/>
      </c>
    </row>
    <row r="96" spans="8:8" x14ac:dyDescent="1.1000000000000001">
      <c r="H96" s="24" t="str">
        <f>IF(G96="","",IFERROR(G96/Settings!$B$3,""))</f>
        <v/>
      </c>
    </row>
    <row r="97" spans="8:8" x14ac:dyDescent="1.1000000000000001">
      <c r="H97" s="24" t="str">
        <f>IF(G97="","",IFERROR(G97/Settings!$B$3,""))</f>
        <v/>
      </c>
    </row>
    <row r="98" spans="8:8" x14ac:dyDescent="1.1000000000000001">
      <c r="H98" s="24" t="str">
        <f>IF(G98="","",IFERROR(G98/Settings!$B$3,""))</f>
        <v/>
      </c>
    </row>
    <row r="99" spans="8:8" x14ac:dyDescent="1.1000000000000001">
      <c r="H99" s="24" t="str">
        <f>IF(G99="","",IFERROR(G99/Settings!$B$3,""))</f>
        <v/>
      </c>
    </row>
    <row r="100" spans="8:8" x14ac:dyDescent="1.1000000000000001">
      <c r="H100" s="24" t="str">
        <f>IF(G100="","",IFERROR(G100/Settings!$B$3,""))</f>
        <v/>
      </c>
    </row>
    <row r="101" spans="8:8" x14ac:dyDescent="1.1000000000000001">
      <c r="H101" s="24" t="str">
        <f>IF(G101="","",IFERROR(G101/Settings!$B$3,""))</f>
        <v/>
      </c>
    </row>
    <row r="102" spans="8:8" x14ac:dyDescent="1.1000000000000001">
      <c r="H102" s="24" t="str">
        <f>IF(G102="","",IFERROR(G102/Settings!$B$3,""))</f>
        <v/>
      </c>
    </row>
    <row r="103" spans="8:8" x14ac:dyDescent="1.1000000000000001">
      <c r="H103" s="24" t="str">
        <f>IF(G103="","",IFERROR(G103/Settings!$B$3,""))</f>
        <v/>
      </c>
    </row>
    <row r="104" spans="8:8" x14ac:dyDescent="1.1000000000000001">
      <c r="H104" s="24" t="str">
        <f>IF(G104="","",IFERROR(G104/Settings!$B$3,""))</f>
        <v/>
      </c>
    </row>
    <row r="105" spans="8:8" x14ac:dyDescent="1.1000000000000001">
      <c r="H105" s="24" t="str">
        <f>IF(G105="","",IFERROR(G105/Settings!$B$3,""))</f>
        <v/>
      </c>
    </row>
    <row r="106" spans="8:8" x14ac:dyDescent="1.1000000000000001">
      <c r="H106" s="24" t="str">
        <f>IF(G106="","",IFERROR(G106/Settings!$B$3,""))</f>
        <v/>
      </c>
    </row>
    <row r="107" spans="8:8" x14ac:dyDescent="1.1000000000000001">
      <c r="H107" s="24" t="str">
        <f>IF(G107="","",IFERROR(G107/Settings!$B$3,""))</f>
        <v/>
      </c>
    </row>
    <row r="108" spans="8:8" x14ac:dyDescent="1.1000000000000001">
      <c r="H108" s="24" t="str">
        <f>IF(G108="","",IFERROR(G108/Settings!$B$3,""))</f>
        <v/>
      </c>
    </row>
    <row r="109" spans="8:8" x14ac:dyDescent="1.1000000000000001">
      <c r="H109" s="24" t="str">
        <f>IF(G109="","",IFERROR(G109/Settings!$B$3,""))</f>
        <v/>
      </c>
    </row>
    <row r="110" spans="8:8" x14ac:dyDescent="1.1000000000000001">
      <c r="H110" s="24" t="str">
        <f>IF(G110="","",IFERROR(G110/Settings!$B$3,""))</f>
        <v/>
      </c>
    </row>
    <row r="111" spans="8:8" x14ac:dyDescent="1.1000000000000001">
      <c r="H111" s="24" t="str">
        <f>IF(G111="","",IFERROR(G111/Settings!$B$3,""))</f>
        <v/>
      </c>
    </row>
    <row r="112" spans="8:8" x14ac:dyDescent="1.1000000000000001">
      <c r="H112" s="24" t="str">
        <f>IF(G112="","",IFERROR(G112/Settings!$B$3,""))</f>
        <v/>
      </c>
    </row>
    <row r="113" spans="8:8" x14ac:dyDescent="1.1000000000000001">
      <c r="H113" s="24" t="str">
        <f>IF(G113="","",IFERROR(G113/Settings!$B$3,""))</f>
        <v/>
      </c>
    </row>
    <row r="114" spans="8:8" x14ac:dyDescent="1.1000000000000001">
      <c r="H114" s="24" t="str">
        <f>IF(G114="","",IFERROR(G114/Settings!$B$3,""))</f>
        <v/>
      </c>
    </row>
    <row r="115" spans="8:8" x14ac:dyDescent="1.1000000000000001">
      <c r="H115" s="24" t="str">
        <f>IF(G115="","",IFERROR(G115/Settings!$B$3,""))</f>
        <v/>
      </c>
    </row>
    <row r="116" spans="8:8" x14ac:dyDescent="1.1000000000000001">
      <c r="H116" s="24" t="str">
        <f>IF(G116="","",IFERROR(G116/Settings!$B$3,""))</f>
        <v/>
      </c>
    </row>
    <row r="117" spans="8:8" x14ac:dyDescent="1.1000000000000001">
      <c r="H117" s="24" t="str">
        <f>IF(G117="","",IFERROR(G117/Settings!$B$3,""))</f>
        <v/>
      </c>
    </row>
    <row r="118" spans="8:8" x14ac:dyDescent="1.1000000000000001">
      <c r="H118" s="24" t="str">
        <f>IF(G118="","",IFERROR(G118/Settings!$B$3,""))</f>
        <v/>
      </c>
    </row>
    <row r="119" spans="8:8" x14ac:dyDescent="1.1000000000000001">
      <c r="H119" s="24" t="str">
        <f>IF(G119="","",IFERROR(G119/Settings!$B$3,""))</f>
        <v/>
      </c>
    </row>
    <row r="120" spans="8:8" x14ac:dyDescent="1.1000000000000001">
      <c r="H120" s="24" t="str">
        <f>IF(G120="","",IFERROR(G120/Settings!$B$3,""))</f>
        <v/>
      </c>
    </row>
    <row r="121" spans="8:8" x14ac:dyDescent="1.1000000000000001">
      <c r="H121" s="24" t="str">
        <f>IF(G121="","",IFERROR(G121/Settings!$B$3,""))</f>
        <v/>
      </c>
    </row>
    <row r="122" spans="8:8" x14ac:dyDescent="1.1000000000000001">
      <c r="H122" s="24" t="str">
        <f>IF(G122="","",IFERROR(G122/Settings!$B$3,""))</f>
        <v/>
      </c>
    </row>
    <row r="123" spans="8:8" x14ac:dyDescent="1.1000000000000001">
      <c r="H123" s="24" t="str">
        <f>IF(G123="","",IFERROR(G123/Settings!$B$3,""))</f>
        <v/>
      </c>
    </row>
    <row r="124" spans="8:8" x14ac:dyDescent="1.1000000000000001">
      <c r="H124" s="24" t="str">
        <f>IF(G124="","",IFERROR(G124/Settings!$B$3,""))</f>
        <v/>
      </c>
    </row>
    <row r="125" spans="8:8" x14ac:dyDescent="1.1000000000000001">
      <c r="H125" s="24" t="str">
        <f>IF(G125="","",IFERROR(G125/Settings!$B$3,""))</f>
        <v/>
      </c>
    </row>
    <row r="126" spans="8:8" x14ac:dyDescent="1.1000000000000001">
      <c r="H126" s="24" t="str">
        <f>IF(G126="","",IFERROR(G126/Settings!$B$3,""))</f>
        <v/>
      </c>
    </row>
    <row r="127" spans="8:8" x14ac:dyDescent="1.1000000000000001">
      <c r="H127" s="24" t="str">
        <f>IF(G127="","",IFERROR(G127/Settings!$B$3,""))</f>
        <v/>
      </c>
    </row>
    <row r="128" spans="8:8" x14ac:dyDescent="1.1000000000000001">
      <c r="H128" s="24" t="str">
        <f>IF(G128="","",IFERROR(G128/Settings!$B$3,""))</f>
        <v/>
      </c>
    </row>
    <row r="129" spans="8:8" x14ac:dyDescent="1.1000000000000001">
      <c r="H129" s="24" t="str">
        <f>IF(G129="","",IFERROR(G129/Settings!$B$3,""))</f>
        <v/>
      </c>
    </row>
    <row r="130" spans="8:8" x14ac:dyDescent="1.1000000000000001">
      <c r="H130" s="24" t="str">
        <f>IF(G130="","",IFERROR(G130/Settings!$B$3,""))</f>
        <v/>
      </c>
    </row>
    <row r="131" spans="8:8" x14ac:dyDescent="1.1000000000000001">
      <c r="H131" s="24" t="str">
        <f>IF(G131="","",IFERROR(G131/Settings!$B$3,""))</f>
        <v/>
      </c>
    </row>
    <row r="132" spans="8:8" x14ac:dyDescent="1.1000000000000001">
      <c r="H132" s="24" t="str">
        <f>IF(G132="","",IFERROR(G132/Settings!$B$3,""))</f>
        <v/>
      </c>
    </row>
    <row r="133" spans="8:8" x14ac:dyDescent="1.1000000000000001">
      <c r="H133" s="24" t="str">
        <f>IF(G133="","",IFERROR(G133/Settings!$B$3,""))</f>
        <v/>
      </c>
    </row>
    <row r="134" spans="8:8" x14ac:dyDescent="1.1000000000000001">
      <c r="H134" s="24" t="str">
        <f>IF(G134="","",IFERROR(G134/Settings!$B$3,""))</f>
        <v/>
      </c>
    </row>
    <row r="135" spans="8:8" x14ac:dyDescent="1.1000000000000001">
      <c r="H135" s="24" t="str">
        <f>IF(G135="","",IFERROR(G135/Settings!$B$3,""))</f>
        <v/>
      </c>
    </row>
    <row r="136" spans="8:8" x14ac:dyDescent="1.1000000000000001">
      <c r="H136" s="24" t="str">
        <f>IF(G136="","",IFERROR(G136/Settings!$B$3,""))</f>
        <v/>
      </c>
    </row>
    <row r="137" spans="8:8" x14ac:dyDescent="1.1000000000000001">
      <c r="H137" s="24" t="str">
        <f>IF(G137="","",IFERROR(G137/Settings!$B$3,""))</f>
        <v/>
      </c>
    </row>
    <row r="138" spans="8:8" x14ac:dyDescent="1.1000000000000001">
      <c r="H138" s="24" t="str">
        <f>IF(G138="","",IFERROR(G138/Settings!$B$3,""))</f>
        <v/>
      </c>
    </row>
    <row r="139" spans="8:8" x14ac:dyDescent="1.1000000000000001">
      <c r="H139" s="24" t="str">
        <f>IF(G139="","",IFERROR(G139/Settings!$B$3,""))</f>
        <v/>
      </c>
    </row>
    <row r="140" spans="8:8" x14ac:dyDescent="1.1000000000000001">
      <c r="H140" s="24" t="str">
        <f>IF(G140="","",IFERROR(G140/Settings!$B$3,""))</f>
        <v/>
      </c>
    </row>
    <row r="141" spans="8:8" x14ac:dyDescent="1.1000000000000001">
      <c r="H141" s="24" t="str">
        <f>IF(G141="","",IFERROR(G141/Settings!$B$3,""))</f>
        <v/>
      </c>
    </row>
    <row r="142" spans="8:8" x14ac:dyDescent="1.1000000000000001">
      <c r="H142" s="24" t="str">
        <f>IF(G142="","",IFERROR(G142/Settings!$B$3,""))</f>
        <v/>
      </c>
    </row>
    <row r="143" spans="8:8" x14ac:dyDescent="1.1000000000000001">
      <c r="H143" s="24" t="str">
        <f>IF(G143="","",IFERROR(G143/Settings!$B$3,""))</f>
        <v/>
      </c>
    </row>
    <row r="144" spans="8:8" x14ac:dyDescent="1.1000000000000001">
      <c r="H144" s="24" t="str">
        <f>IF(G144="","",IFERROR(G144/Settings!$B$3,""))</f>
        <v/>
      </c>
    </row>
    <row r="145" spans="8:8" x14ac:dyDescent="1.1000000000000001">
      <c r="H145" s="24" t="str">
        <f>IF(G145="","",IFERROR(G145/Settings!$B$3,""))</f>
        <v/>
      </c>
    </row>
    <row r="146" spans="8:8" x14ac:dyDescent="1.1000000000000001">
      <c r="H146" s="24" t="str">
        <f>IF(G146="","",IFERROR(G146/Settings!$B$3,""))</f>
        <v/>
      </c>
    </row>
    <row r="147" spans="8:8" x14ac:dyDescent="1.1000000000000001">
      <c r="H147" s="24" t="str">
        <f>IF(G147="","",IFERROR(G147/Settings!$B$3,""))</f>
        <v/>
      </c>
    </row>
    <row r="148" spans="8:8" x14ac:dyDescent="1.1000000000000001">
      <c r="H148" s="24" t="str">
        <f>IF(G148="","",IFERROR(G148/Settings!$B$3,""))</f>
        <v/>
      </c>
    </row>
    <row r="149" spans="8:8" x14ac:dyDescent="1.1000000000000001">
      <c r="H149" s="24" t="str">
        <f>IF(G149="","",IFERROR(G149/Settings!$B$3,""))</f>
        <v/>
      </c>
    </row>
    <row r="150" spans="8:8" x14ac:dyDescent="1.1000000000000001">
      <c r="H150" s="24" t="str">
        <f>IF(G150="","",IFERROR(G150/Settings!$B$3,""))</f>
        <v/>
      </c>
    </row>
    <row r="151" spans="8:8" x14ac:dyDescent="1.1000000000000001">
      <c r="H151" s="24" t="str">
        <f>IF(G151="","",IFERROR(G151/Settings!$B$3,""))</f>
        <v/>
      </c>
    </row>
    <row r="152" spans="8:8" x14ac:dyDescent="1.1000000000000001">
      <c r="H152" s="24" t="str">
        <f>IF(G152="","",IFERROR(G152/Settings!$B$3,""))</f>
        <v/>
      </c>
    </row>
    <row r="153" spans="8:8" x14ac:dyDescent="1.1000000000000001">
      <c r="H153" s="24" t="str">
        <f>IF(G153="","",IFERROR(G153/Settings!$B$3,""))</f>
        <v/>
      </c>
    </row>
    <row r="154" spans="8:8" x14ac:dyDescent="1.1000000000000001">
      <c r="H154" s="24" t="str">
        <f>IF(G154="","",IFERROR(G154/Settings!$B$3,""))</f>
        <v/>
      </c>
    </row>
    <row r="155" spans="8:8" x14ac:dyDescent="1.1000000000000001">
      <c r="H155" s="24" t="str">
        <f>IF(G155="","",IFERROR(G155/Settings!$B$3,""))</f>
        <v/>
      </c>
    </row>
    <row r="156" spans="8:8" x14ac:dyDescent="1.1000000000000001">
      <c r="H156" s="24" t="str">
        <f>IF(G156="","",IFERROR(G156/Settings!$B$3,""))</f>
        <v/>
      </c>
    </row>
    <row r="157" spans="8:8" x14ac:dyDescent="1.1000000000000001">
      <c r="H157" s="24" t="str">
        <f>IF(G157="","",IFERROR(G157/Settings!$B$3,""))</f>
        <v/>
      </c>
    </row>
    <row r="158" spans="8:8" x14ac:dyDescent="1.1000000000000001">
      <c r="H158" s="24" t="str">
        <f>IF(G158="","",IFERROR(G158/Settings!$B$3,""))</f>
        <v/>
      </c>
    </row>
    <row r="159" spans="8:8" x14ac:dyDescent="1.1000000000000001">
      <c r="H159" s="24" t="str">
        <f>IF(G159="","",IFERROR(G159/Settings!$B$3,""))</f>
        <v/>
      </c>
    </row>
    <row r="160" spans="8:8" x14ac:dyDescent="1.1000000000000001">
      <c r="H160" s="24" t="str">
        <f>IF(G160="","",IFERROR(G160/Settings!$B$3,""))</f>
        <v/>
      </c>
    </row>
    <row r="161" spans="8:8" x14ac:dyDescent="1.1000000000000001">
      <c r="H161" s="24" t="str">
        <f>IF(G161="","",IFERROR(G161/Settings!$B$3,""))</f>
        <v/>
      </c>
    </row>
    <row r="162" spans="8:8" x14ac:dyDescent="1.1000000000000001">
      <c r="H162" s="24" t="str">
        <f>IF(G162="","",IFERROR(G162/Settings!$B$3,""))</f>
        <v/>
      </c>
    </row>
    <row r="163" spans="8:8" x14ac:dyDescent="1.1000000000000001">
      <c r="H163" s="24" t="str">
        <f>IF(G163="","",IFERROR(G163/Settings!$B$3,""))</f>
        <v/>
      </c>
    </row>
    <row r="164" spans="8:8" x14ac:dyDescent="1.1000000000000001">
      <c r="H164" s="24" t="str">
        <f>IF(G164="","",IFERROR(G164/Settings!$B$3,""))</f>
        <v/>
      </c>
    </row>
    <row r="165" spans="8:8" x14ac:dyDescent="1.1000000000000001">
      <c r="H165" s="24" t="str">
        <f>IF(G165="","",IFERROR(G165/Settings!$B$3,""))</f>
        <v/>
      </c>
    </row>
    <row r="166" spans="8:8" x14ac:dyDescent="1.1000000000000001">
      <c r="H166" s="24" t="str">
        <f>IF(G166="","",IFERROR(G166/Settings!$B$3,""))</f>
        <v/>
      </c>
    </row>
    <row r="167" spans="8:8" x14ac:dyDescent="1.1000000000000001">
      <c r="H167" s="24" t="str">
        <f>IF(G167="","",IFERROR(G167/Settings!$B$3,""))</f>
        <v/>
      </c>
    </row>
    <row r="168" spans="8:8" x14ac:dyDescent="1.1000000000000001">
      <c r="H168" s="24" t="str">
        <f>IF(G168="","",IFERROR(G168/Settings!$B$3,""))</f>
        <v/>
      </c>
    </row>
    <row r="169" spans="8:8" x14ac:dyDescent="1.1000000000000001">
      <c r="H169" s="24" t="str">
        <f>IF(G169="","",IFERROR(G169/Settings!$B$3,""))</f>
        <v/>
      </c>
    </row>
    <row r="170" spans="8:8" x14ac:dyDescent="1.1000000000000001">
      <c r="H170" s="24" t="str">
        <f>IF(G170="","",IFERROR(G170/Settings!$B$3,""))</f>
        <v/>
      </c>
    </row>
    <row r="171" spans="8:8" x14ac:dyDescent="1.1000000000000001">
      <c r="H171" s="24" t="str">
        <f>IF(G171="","",IFERROR(G171/Settings!$B$3,""))</f>
        <v/>
      </c>
    </row>
    <row r="172" spans="8:8" x14ac:dyDescent="1.1000000000000001">
      <c r="H172" s="24" t="str">
        <f>IF(G172="","",IFERROR(G172/Settings!$B$3,""))</f>
        <v/>
      </c>
    </row>
    <row r="173" spans="8:8" x14ac:dyDescent="1.1000000000000001">
      <c r="H173" s="24" t="str">
        <f>IF(G173="","",IFERROR(G173/Settings!$B$3,""))</f>
        <v/>
      </c>
    </row>
    <row r="174" spans="8:8" x14ac:dyDescent="1.1000000000000001">
      <c r="H174" s="24" t="str">
        <f>IF(G174="","",IFERROR(G174/Settings!$B$3,""))</f>
        <v/>
      </c>
    </row>
    <row r="175" spans="8:8" x14ac:dyDescent="1.1000000000000001">
      <c r="H175" s="24" t="str">
        <f>IF(G175="","",IFERROR(G175/Settings!$B$3,""))</f>
        <v/>
      </c>
    </row>
    <row r="176" spans="8:8" x14ac:dyDescent="1.1000000000000001">
      <c r="H176" s="24" t="str">
        <f>IF(G176="","",IFERROR(G176/Settings!$B$3,""))</f>
        <v/>
      </c>
    </row>
    <row r="177" spans="8:8" x14ac:dyDescent="1.1000000000000001">
      <c r="H177" s="24" t="str">
        <f>IF(G177="","",IFERROR(G177/Settings!$B$3,""))</f>
        <v/>
      </c>
    </row>
    <row r="178" spans="8:8" x14ac:dyDescent="1.1000000000000001">
      <c r="H178" s="24" t="str">
        <f>IF(G178="","",IFERROR(G178/Settings!$B$3,""))</f>
        <v/>
      </c>
    </row>
    <row r="179" spans="8:8" x14ac:dyDescent="1.1000000000000001">
      <c r="H179" s="24" t="str">
        <f>IF(G179="","",IFERROR(G179/Settings!$B$3,""))</f>
        <v/>
      </c>
    </row>
    <row r="180" spans="8:8" x14ac:dyDescent="1.1000000000000001">
      <c r="H180" s="24" t="str">
        <f>IF(G180="","",IFERROR(G180/Settings!$B$3,""))</f>
        <v/>
      </c>
    </row>
    <row r="181" spans="8:8" x14ac:dyDescent="1.1000000000000001">
      <c r="H181" s="24" t="str">
        <f>IF(G181="","",IFERROR(G181/Settings!$B$3,""))</f>
        <v/>
      </c>
    </row>
    <row r="182" spans="8:8" x14ac:dyDescent="1.1000000000000001">
      <c r="H182" s="24" t="str">
        <f>IF(G182="","",IFERROR(G182/Settings!$B$3,""))</f>
        <v/>
      </c>
    </row>
    <row r="183" spans="8:8" x14ac:dyDescent="1.1000000000000001">
      <c r="H183" s="24" t="str">
        <f>IF(G183="","",IFERROR(G183/Settings!$B$3,""))</f>
        <v/>
      </c>
    </row>
    <row r="184" spans="8:8" x14ac:dyDescent="1.1000000000000001">
      <c r="H184" s="24" t="str">
        <f>IF(G184="","",IFERROR(G184/Settings!$B$3,""))</f>
        <v/>
      </c>
    </row>
    <row r="185" spans="8:8" x14ac:dyDescent="1.1000000000000001">
      <c r="H185" s="24" t="str">
        <f>IF(G185="","",IFERROR(G185/Settings!$B$3,""))</f>
        <v/>
      </c>
    </row>
    <row r="186" spans="8:8" x14ac:dyDescent="1.1000000000000001">
      <c r="H186" s="24" t="str">
        <f>IF(G186="","",IFERROR(G186/Settings!$B$3,""))</f>
        <v/>
      </c>
    </row>
    <row r="187" spans="8:8" x14ac:dyDescent="1.1000000000000001">
      <c r="H187" s="24" t="str">
        <f>IF(G187="","",IFERROR(G187/Settings!$B$3,""))</f>
        <v/>
      </c>
    </row>
    <row r="188" spans="8:8" x14ac:dyDescent="1.1000000000000001">
      <c r="H188" s="24" t="str">
        <f>IF(G188="","",IFERROR(G188/Settings!$B$3,""))</f>
        <v/>
      </c>
    </row>
    <row r="189" spans="8:8" x14ac:dyDescent="1.1000000000000001">
      <c r="H189" s="24" t="str">
        <f>IF(G189="","",IFERROR(G189/Settings!$B$3,""))</f>
        <v/>
      </c>
    </row>
    <row r="190" spans="8:8" x14ac:dyDescent="1.1000000000000001">
      <c r="H190" s="24" t="str">
        <f>IF(G190="","",IFERROR(G190/Settings!$B$3,""))</f>
        <v/>
      </c>
    </row>
    <row r="191" spans="8:8" x14ac:dyDescent="1.1000000000000001">
      <c r="H191" s="24" t="str">
        <f>IF(G191="","",IFERROR(G191/Settings!$B$3,""))</f>
        <v/>
      </c>
    </row>
    <row r="192" spans="8:8" x14ac:dyDescent="1.1000000000000001">
      <c r="H192" s="24" t="str">
        <f>IF(G192="","",IFERROR(G192/Settings!$B$3,""))</f>
        <v/>
      </c>
    </row>
    <row r="193" spans="8:8" x14ac:dyDescent="1.1000000000000001">
      <c r="H193" s="24" t="str">
        <f>IF(G193="","",IFERROR(G193/Settings!$B$3,""))</f>
        <v/>
      </c>
    </row>
    <row r="194" spans="8:8" x14ac:dyDescent="1.1000000000000001">
      <c r="H194" s="24" t="str">
        <f>IF(G194="","",IFERROR(G194/Settings!$B$3,""))</f>
        <v/>
      </c>
    </row>
    <row r="195" spans="8:8" x14ac:dyDescent="1.1000000000000001">
      <c r="H195" s="24" t="str">
        <f>IF(G195="","",IFERROR(G195/Settings!$B$3,""))</f>
        <v/>
      </c>
    </row>
    <row r="196" spans="8:8" x14ac:dyDescent="1.1000000000000001">
      <c r="H196" s="24" t="str">
        <f>IF(G196="","",IFERROR(G196/Settings!$B$3,""))</f>
        <v/>
      </c>
    </row>
    <row r="197" spans="8:8" x14ac:dyDescent="1.1000000000000001">
      <c r="H197" s="24" t="str">
        <f>IF(G197="","",IFERROR(G197/Settings!$B$3,""))</f>
        <v/>
      </c>
    </row>
    <row r="198" spans="8:8" x14ac:dyDescent="1.1000000000000001">
      <c r="H198" s="24" t="str">
        <f>IF(G198="","",IFERROR(G198/Settings!$B$3,""))</f>
        <v/>
      </c>
    </row>
    <row r="199" spans="8:8" x14ac:dyDescent="1.1000000000000001">
      <c r="H199" s="24" t="str">
        <f>IF(G199="","",IFERROR(G199/Settings!$B$3,""))</f>
        <v/>
      </c>
    </row>
    <row r="200" spans="8:8" x14ac:dyDescent="1.1000000000000001">
      <c r="H200" s="24" t="str">
        <f>IF(G200="","",IFERROR(G200/Settings!$B$3,""))</f>
        <v/>
      </c>
    </row>
  </sheetData>
  <mergeCells count="2">
    <mergeCell ref="A1:R1"/>
    <mergeCell ref="A2:R2"/>
  </mergeCells>
  <dataValidations count="6">
    <dataValidation type="list" showErrorMessage="1" sqref="I14:I1000 I4:I11" xr:uid="{00000000-0002-0000-0100-000000000000}">
      <formula1>"Email,Referral,Exhibition,ITEC,Eximpedia"</formula1>
      <formula2>0</formula2>
    </dataValidation>
    <dataValidation type="list" showErrorMessage="1" sqref="J4:J1000" xr:uid="{00000000-0002-0000-0100-000001000000}">
      <formula1>"Reply to be Given,No Reply,Interested,Not Interested,Negotiating"</formula1>
      <formula2>0</formula2>
    </dataValidation>
    <dataValidation type="list" showErrorMessage="1" sqref="K4:K13 K15:K1000" xr:uid="{00000000-0002-0000-0100-000002000000}">
      <formula1>"Qualification,Proposal,Negotiating,Closed - Won,Closed - Lost"</formula1>
      <formula2>0</formula2>
    </dataValidation>
    <dataValidation type="list" showErrorMessage="1" sqref="F4:F1000" xr:uid="{00000000-0002-0000-0100-000003000000}">
      <formula1>"Product Supply,Phased Collaboration,TOT and Manufacturing"</formula1>
      <formula2>0</formula2>
    </dataValidation>
    <dataValidation type="list" showErrorMessage="1" sqref="I12:I13" xr:uid="{8C4D38DA-DCEF-4241-814F-77C09D455C92}">
      <formula1>"Email,Referral,Exhibition,ITEC,Eximpedia,Visit"</formula1>
    </dataValidation>
    <dataValidation type="list" showErrorMessage="1" sqref="K14" xr:uid="{F62F1F66-5F39-4131-B4D9-EC7E3E7C7F38}">
      <formula1>"MOU Signed,Proposal,Negotiating,Closed - Won,Closed - Lost"</formula1>
    </dataValidation>
  </dataValidations>
  <hyperlinks>
    <hyperlink ref="K5" r:id="rId1" xr:uid="{00000000-0004-0000-0100-000000000000}"/>
    <hyperlink ref="K7" r:id="rId2" display="Proposal" xr:uid="{00000000-0004-0000-0100-000001000000}"/>
    <hyperlink ref="K8" r:id="rId3" xr:uid="{00000000-0004-0000-0100-000002000000}"/>
    <hyperlink ref="K11" r:id="rId4" xr:uid="{00000000-0004-0000-0100-000003000000}"/>
    <hyperlink ref="L12" r:id="rId5" xr:uid="{C6601414-4F37-49B5-BF00-18EC1A52BD54}"/>
    <hyperlink ref="L13" r:id="rId6" xr:uid="{7D26CFAA-3B33-477F-83B9-1EB0502F35B6}"/>
  </hyperlinks>
  <pageMargins left="0.75" right="0.75" top="1" bottom="1" header="0.511811023622047" footer="0.511811023622047"/>
  <pageSetup paperSize="9" orientation="portrait" horizontalDpi="300" verticalDpi="30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5871A"/>
  </sheetPr>
  <dimension ref="A1:K92"/>
  <sheetViews>
    <sheetView showGridLines="0" zoomScale="37" zoomScaleNormal="37" workbookViewId="0">
      <selection activeCell="N75" sqref="N75"/>
    </sheetView>
  </sheetViews>
  <sheetFormatPr defaultColWidth="8.6328125" defaultRowHeight="14.5" x14ac:dyDescent="0.35"/>
  <cols>
    <col min="1" max="1" width="2" customWidth="1"/>
    <col min="2" max="2" width="24" customWidth="1"/>
    <col min="3" max="3" width="13" customWidth="1"/>
    <col min="4" max="4" width="20" customWidth="1"/>
    <col min="5" max="5" width="22" customWidth="1"/>
    <col min="6" max="6" width="15" customWidth="1"/>
    <col min="7" max="7" width="18" customWidth="1"/>
    <col min="8" max="8" width="24" customWidth="1"/>
    <col min="9" max="10" width="18" customWidth="1"/>
    <col min="11" max="11" width="2" customWidth="1"/>
  </cols>
  <sheetData>
    <row r="1" spans="1:11" ht="60" customHeight="1" x14ac:dyDescent="0.35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</row>
    <row r="2" spans="1:11" ht="21.75" customHeight="1" x14ac:dyDescent="0.35">
      <c r="A2" s="65" t="s">
        <v>1</v>
      </c>
      <c r="B2" s="65"/>
      <c r="C2" s="65"/>
      <c r="D2" s="65"/>
      <c r="E2" s="65"/>
      <c r="F2" s="65"/>
      <c r="G2" s="65"/>
      <c r="H2" s="65"/>
      <c r="I2" s="65"/>
      <c r="J2" s="65"/>
      <c r="K2" s="65"/>
    </row>
    <row r="3" spans="1:11" ht="7.5" customHeight="1" x14ac:dyDescent="0.35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</row>
    <row r="4" spans="1:11" ht="30" customHeight="1" x14ac:dyDescent="0.35">
      <c r="A4" s="67" t="s">
        <v>2</v>
      </c>
      <c r="B4" s="67"/>
      <c r="C4" s="67"/>
      <c r="D4" s="67"/>
      <c r="E4" s="67"/>
      <c r="F4" s="67"/>
      <c r="G4" s="67"/>
      <c r="H4" s="67"/>
      <c r="I4" s="67"/>
      <c r="J4" s="67"/>
      <c r="K4" s="67"/>
    </row>
    <row r="5" spans="1:11" ht="7.5" customHeight="1" x14ac:dyDescent="0.35">
      <c r="A5" s="48"/>
      <c r="B5" s="48"/>
      <c r="C5" s="48"/>
      <c r="D5" s="48"/>
      <c r="E5" s="48"/>
      <c r="F5" s="48"/>
      <c r="G5" s="48"/>
      <c r="H5" s="48"/>
      <c r="I5" s="48"/>
      <c r="J5" s="48"/>
      <c r="K5" s="48"/>
    </row>
    <row r="6" spans="1:11" ht="25.5" customHeight="1" x14ac:dyDescent="0.35">
      <c r="A6" s="1"/>
      <c r="B6" s="56" t="s">
        <v>3</v>
      </c>
      <c r="C6" s="56"/>
      <c r="D6" s="57" t="s">
        <v>4</v>
      </c>
      <c r="E6" s="57"/>
      <c r="G6" s="58">
        <v>62458200</v>
      </c>
      <c r="H6" s="58"/>
      <c r="I6" s="59" t="s">
        <v>5</v>
      </c>
      <c r="J6" s="59"/>
    </row>
    <row r="7" spans="1:11" ht="25.5" customHeight="1" x14ac:dyDescent="0.35">
      <c r="A7" s="1"/>
      <c r="B7" s="60">
        <f>COUNTA('Leads Data'!B4:B1000)</f>
        <v>10</v>
      </c>
      <c r="C7" s="60"/>
      <c r="D7" s="61">
        <f>COUNTIF('Leads Data'!J:J,"Interested")+COUNTIF('Leads Data'!J:J,"Negotiating")</f>
        <v>6</v>
      </c>
      <c r="E7" s="61"/>
      <c r="G7" s="62">
        <v>45000</v>
      </c>
      <c r="H7" s="62"/>
      <c r="I7" s="63">
        <f>COUNTIF('Leads Data'!J:J,"Reply to be Given")</f>
        <v>4</v>
      </c>
      <c r="J7" s="63"/>
    </row>
    <row r="8" spans="1:11" ht="25.5" customHeight="1" x14ac:dyDescent="0.35">
      <c r="A8" s="1"/>
      <c r="B8" s="60"/>
      <c r="C8" s="60"/>
      <c r="D8" s="61"/>
      <c r="E8" s="61"/>
      <c r="G8" s="62"/>
      <c r="H8" s="62"/>
      <c r="I8" s="63"/>
      <c r="J8" s="63"/>
    </row>
    <row r="9" spans="1:11" ht="25.5" customHeight="1" x14ac:dyDescent="0.35">
      <c r="A9" s="1"/>
      <c r="B9" s="60"/>
      <c r="C9" s="60"/>
      <c r="D9" s="61"/>
      <c r="E9" s="61"/>
      <c r="G9" s="62"/>
      <c r="H9" s="62"/>
      <c r="I9" s="63"/>
      <c r="J9" s="63"/>
    </row>
    <row r="10" spans="1:11" ht="25.5" customHeight="1" x14ac:dyDescent="0.35">
      <c r="A10" s="1"/>
      <c r="B10" s="52"/>
      <c r="C10" s="52"/>
      <c r="D10" s="53"/>
      <c r="E10" s="53"/>
      <c r="G10" s="54"/>
      <c r="H10" s="54"/>
      <c r="I10" s="55"/>
      <c r="J10" s="55"/>
    </row>
    <row r="11" spans="1:11" ht="7.5" customHeight="1" x14ac:dyDescent="0.35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</row>
    <row r="12" spans="1:11" ht="30" customHeight="1" x14ac:dyDescent="0.35">
      <c r="A12" s="49" t="s">
        <v>6</v>
      </c>
      <c r="B12" s="49"/>
      <c r="C12" s="49"/>
      <c r="D12" s="49"/>
      <c r="E12" s="49"/>
      <c r="F12" s="51" t="s">
        <v>7</v>
      </c>
      <c r="G12" s="51"/>
      <c r="H12" s="51"/>
      <c r="I12" s="51"/>
      <c r="J12" s="51"/>
      <c r="K12" s="51"/>
    </row>
    <row r="13" spans="1:11" ht="15" customHeight="1" x14ac:dyDescent="0.35">
      <c r="A13" s="47"/>
      <c r="B13" s="47"/>
      <c r="C13" s="47"/>
      <c r="D13" s="47"/>
      <c r="E13" s="47"/>
      <c r="F13" s="47"/>
      <c r="G13" s="47"/>
      <c r="H13" s="47"/>
      <c r="I13" s="47"/>
      <c r="J13" s="47"/>
      <c r="K13" s="47"/>
    </row>
    <row r="14" spans="1:11" ht="15" customHeight="1" x14ac:dyDescent="0.35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</row>
    <row r="15" spans="1:11" ht="15" customHeight="1" x14ac:dyDescent="0.35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</row>
    <row r="16" spans="1:11" ht="15" customHeight="1" x14ac:dyDescent="0.35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</row>
    <row r="17" spans="1:11" ht="15" customHeight="1" x14ac:dyDescent="0.35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</row>
    <row r="18" spans="1:11" ht="15" customHeight="1" x14ac:dyDescent="0.35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</row>
    <row r="19" spans="1:11" ht="15" customHeight="1" x14ac:dyDescent="0.35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</row>
    <row r="20" spans="1:11" ht="15" customHeight="1" x14ac:dyDescent="0.35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</row>
    <row r="21" spans="1:11" ht="15" customHeight="1" x14ac:dyDescent="0.35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</row>
    <row r="22" spans="1:11" ht="15" customHeight="1" x14ac:dyDescent="0.35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</row>
    <row r="23" spans="1:11" ht="15" customHeight="1" x14ac:dyDescent="0.35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</row>
    <row r="24" spans="1:11" ht="15" customHeight="1" x14ac:dyDescent="0.35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</row>
    <row r="25" spans="1:11" ht="15" customHeight="1" x14ac:dyDescent="0.35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</row>
    <row r="26" spans="1:11" ht="15" customHeight="1" x14ac:dyDescent="0.35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</row>
    <row r="27" spans="1:11" ht="15" customHeight="1" x14ac:dyDescent="0.35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</row>
    <row r="28" spans="1:11" ht="15" customHeight="1" x14ac:dyDescent="0.35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</row>
    <row r="29" spans="1:11" ht="15" customHeight="1" x14ac:dyDescent="0.35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</row>
    <row r="30" spans="1:11" ht="15" customHeight="1" x14ac:dyDescent="0.35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</row>
    <row r="31" spans="1:11" ht="15" customHeight="1" x14ac:dyDescent="0.35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</row>
    <row r="32" spans="1:11" ht="15" customHeight="1" x14ac:dyDescent="0.35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</row>
    <row r="33" spans="1:11" ht="7.5" customHeight="1" x14ac:dyDescent="0.35">
      <c r="A33" s="1"/>
    </row>
    <row r="34" spans="1:11" ht="30" customHeight="1" x14ac:dyDescent="0.35">
      <c r="A34" s="49" t="s">
        <v>8</v>
      </c>
      <c r="B34" s="49"/>
      <c r="C34" s="49"/>
      <c r="D34" s="49"/>
      <c r="E34" s="49"/>
      <c r="F34" s="51" t="s">
        <v>9</v>
      </c>
      <c r="G34" s="51"/>
      <c r="H34" s="51"/>
      <c r="I34" s="51"/>
      <c r="J34" s="51"/>
      <c r="K34" s="51"/>
    </row>
    <row r="35" spans="1:11" ht="15" customHeight="1" x14ac:dyDescent="0.35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</row>
    <row r="36" spans="1:11" ht="15" customHeight="1" x14ac:dyDescent="0.35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</row>
    <row r="37" spans="1:11" ht="15" customHeight="1" x14ac:dyDescent="0.35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</row>
    <row r="38" spans="1:11" ht="15" customHeight="1" x14ac:dyDescent="0.35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</row>
    <row r="39" spans="1:11" ht="15" customHeight="1" x14ac:dyDescent="0.35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</row>
    <row r="40" spans="1:11" ht="15" customHeight="1" x14ac:dyDescent="0.35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</row>
    <row r="41" spans="1:11" ht="15" customHeight="1" x14ac:dyDescent="0.35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</row>
    <row r="42" spans="1:11" ht="15" customHeight="1" x14ac:dyDescent="0.35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</row>
    <row r="43" spans="1:11" ht="15" customHeight="1" x14ac:dyDescent="0.35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</row>
    <row r="44" spans="1:11" ht="15" customHeight="1" x14ac:dyDescent="0.35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</row>
    <row r="45" spans="1:11" ht="15" customHeight="1" x14ac:dyDescent="0.35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</row>
    <row r="46" spans="1:11" ht="15" customHeight="1" x14ac:dyDescent="0.35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</row>
    <row r="47" spans="1:11" ht="15" customHeight="1" x14ac:dyDescent="0.35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</row>
    <row r="48" spans="1:11" ht="15" customHeight="1" x14ac:dyDescent="0.35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</row>
    <row r="49" spans="1:11" ht="15" customHeight="1" x14ac:dyDescent="0.35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</row>
    <row r="50" spans="1:11" ht="15" customHeight="1" x14ac:dyDescent="0.35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</row>
    <row r="51" spans="1:11" ht="15" customHeight="1" x14ac:dyDescent="0.3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</row>
    <row r="52" spans="1:11" ht="15" customHeight="1" x14ac:dyDescent="0.3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</row>
    <row r="53" spans="1:11" ht="15" customHeight="1" x14ac:dyDescent="0.35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</row>
    <row r="54" spans="1:11" ht="15" customHeight="1" x14ac:dyDescent="0.35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</row>
    <row r="55" spans="1:11" ht="7.5" customHeight="1" x14ac:dyDescent="0.35">
      <c r="A55" s="1"/>
    </row>
    <row r="56" spans="1:11" ht="30" customHeight="1" x14ac:dyDescent="0.35">
      <c r="A56" s="49" t="s">
        <v>10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</row>
    <row r="57" spans="1:11" ht="15" customHeight="1" x14ac:dyDescent="0.35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</row>
    <row r="58" spans="1:11" ht="15" customHeight="1" x14ac:dyDescent="0.35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</row>
    <row r="59" spans="1:11" ht="15" customHeight="1" x14ac:dyDescent="0.35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</row>
    <row r="60" spans="1:11" ht="15" customHeight="1" x14ac:dyDescent="0.35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</row>
    <row r="61" spans="1:11" ht="15" customHeight="1" x14ac:dyDescent="0.35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</row>
    <row r="62" spans="1:11" ht="15" customHeight="1" x14ac:dyDescent="0.35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</row>
    <row r="63" spans="1:11" ht="15" customHeight="1" x14ac:dyDescent="0.35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</row>
    <row r="64" spans="1:11" ht="15" customHeight="1" x14ac:dyDescent="0.35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</row>
    <row r="65" spans="1:11" ht="15" customHeight="1" x14ac:dyDescent="0.35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</row>
    <row r="66" spans="1:11" ht="15" customHeight="1" x14ac:dyDescent="0.35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</row>
    <row r="67" spans="1:11" ht="15" customHeight="1" x14ac:dyDescent="0.35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</row>
    <row r="68" spans="1:11" ht="15" customHeight="1" x14ac:dyDescent="0.35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</row>
    <row r="69" spans="1:11" ht="15" customHeight="1" x14ac:dyDescent="0.35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</row>
    <row r="70" spans="1:11" ht="15" customHeight="1" x14ac:dyDescent="0.35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</row>
    <row r="71" spans="1:11" ht="15" customHeight="1" x14ac:dyDescent="0.35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</row>
    <row r="72" spans="1:11" ht="15" customHeight="1" x14ac:dyDescent="0.35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</row>
    <row r="73" spans="1:11" ht="15" customHeight="1" x14ac:dyDescent="0.35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</row>
    <row r="74" spans="1:11" ht="15" customHeight="1" x14ac:dyDescent="0.35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</row>
    <row r="75" spans="1:11" ht="15" customHeight="1" x14ac:dyDescent="0.35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</row>
    <row r="76" spans="1:11" ht="15" customHeight="1" x14ac:dyDescent="0.35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</row>
    <row r="77" spans="1:11" ht="15" customHeight="1" x14ac:dyDescent="0.35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</row>
    <row r="78" spans="1:11" ht="15" customHeight="1" x14ac:dyDescent="0.35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</row>
    <row r="79" spans="1:11" ht="7.5" customHeight="1" x14ac:dyDescent="0.35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</row>
    <row r="80" spans="1:11" ht="30" customHeight="1" x14ac:dyDescent="0.35">
      <c r="A80" s="49" t="s">
        <v>11</v>
      </c>
      <c r="B80" s="49"/>
      <c r="C80" s="49"/>
      <c r="D80" s="49"/>
      <c r="E80" s="49"/>
      <c r="F80" s="49"/>
      <c r="G80" s="49"/>
      <c r="H80" s="49"/>
      <c r="I80" s="49"/>
      <c r="J80" s="49"/>
      <c r="K80" s="49"/>
    </row>
    <row r="81" spans="1:11" ht="25.5" customHeight="1" x14ac:dyDescent="0.35">
      <c r="A81" s="1"/>
      <c r="B81" s="2" t="s">
        <v>12</v>
      </c>
      <c r="C81" s="2" t="s">
        <v>13</v>
      </c>
      <c r="D81" s="2" t="s">
        <v>14</v>
      </c>
      <c r="E81" s="2" t="s">
        <v>15</v>
      </c>
      <c r="F81" s="2" t="s">
        <v>16</v>
      </c>
      <c r="G81" s="2" t="s">
        <v>17</v>
      </c>
      <c r="H81" s="2" t="s">
        <v>18</v>
      </c>
    </row>
    <row r="82" spans="1:11" ht="21.75" customHeight="1" x14ac:dyDescent="0.35">
      <c r="A82" s="1"/>
      <c r="B82" s="3" t="str">
        <f>'Leads Data'!B4</f>
        <v>Afrimed Pharmaceutical Ltd.</v>
      </c>
      <c r="C82" s="3" t="str">
        <f>'Leads Data'!M4</f>
        <v>Zambia</v>
      </c>
      <c r="D82" s="3" t="str">
        <f>'Leads Data'!J4</f>
        <v>Interested</v>
      </c>
      <c r="E82" s="3" t="str">
        <f>'Leads Data'!F4</f>
        <v>Product Supply</v>
      </c>
      <c r="F82" s="4">
        <f>'Leads Data'!G4</f>
        <v>680256</v>
      </c>
      <c r="G82" s="3" t="str">
        <f>'Leads Data'!C4</f>
        <v>Mr. Hyder Khan</v>
      </c>
      <c r="H82" s="3" t="str">
        <f>'Leads Data'!Q4</f>
        <v>Interested in Hearing Aids</v>
      </c>
    </row>
    <row r="83" spans="1:11" ht="21.75" customHeight="1" x14ac:dyDescent="0.35">
      <c r="A83" s="1"/>
      <c r="B83" s="5" t="str">
        <f>'Leads Data'!B5</f>
        <v>SJS Life Sciences Ltd.</v>
      </c>
      <c r="C83" s="5" t="str">
        <f>'Leads Data'!M5</f>
        <v>Nigeria</v>
      </c>
      <c r="D83" s="5" t="str">
        <f>'Leads Data'!J5</f>
        <v>Negotiating</v>
      </c>
      <c r="E83" s="5" t="str">
        <f>'Leads Data'!F5</f>
        <v>Product Supply</v>
      </c>
      <c r="F83" s="6">
        <f>'Leads Data'!G5</f>
        <v>680256</v>
      </c>
      <c r="G83" s="5" t="str">
        <f>'Leads Data'!C5</f>
        <v>Jitendra Pandey</v>
      </c>
      <c r="H83" s="5" t="str">
        <f>'Leads Data'!Q5</f>
        <v>Interested in Hearing Aids</v>
      </c>
    </row>
    <row r="84" spans="1:11" ht="21.75" customHeight="1" x14ac:dyDescent="0.35">
      <c r="A84" s="1"/>
      <c r="B84" s="3" t="str">
        <f>'Leads Data'!B6</f>
        <v>Medikit Corporation</v>
      </c>
      <c r="C84" s="3" t="str">
        <f>'Leads Data'!M6</f>
        <v>Bangladesh</v>
      </c>
      <c r="D84" s="3" t="str">
        <f>'Leads Data'!J6</f>
        <v>Not Interested</v>
      </c>
      <c r="E84" s="3" t="str">
        <f>'Leads Data'!F6</f>
        <v>Product Supply</v>
      </c>
      <c r="F84" s="4">
        <f>'Leads Data'!G6</f>
        <v>62458200</v>
      </c>
      <c r="G84" s="3" t="str">
        <f>'Leads Data'!C6</f>
        <v>Md. Mamunor Rashid</v>
      </c>
      <c r="H84" s="3" t="str">
        <f>'Leads Data'!Q6</f>
        <v>Responded to email</v>
      </c>
    </row>
    <row r="85" spans="1:11" ht="21.75" customHeight="1" x14ac:dyDescent="0.35">
      <c r="A85" s="1"/>
      <c r="B85" s="5" t="str">
        <f>'Leads Data'!B7</f>
        <v>Kamsitoc Global Trading Sarl</v>
      </c>
      <c r="C85" s="5" t="str">
        <f>'Leads Data'!M7</f>
        <v>Togo</v>
      </c>
      <c r="D85" s="5" t="str">
        <f>'Leads Data'!J7</f>
        <v>Interested</v>
      </c>
      <c r="E85" s="5" t="str">
        <f>'Leads Data'!F7</f>
        <v>Product Supply</v>
      </c>
      <c r="F85" s="6">
        <f>'Leads Data'!G7</f>
        <v>45000</v>
      </c>
      <c r="G85" s="5" t="str">
        <f>'Leads Data'!C7</f>
        <v>Comrade Kwaku Jojo (Mr)</v>
      </c>
      <c r="H85" s="5" t="str">
        <f>'Leads Data'!Q7</f>
        <v>export pricing required</v>
      </c>
    </row>
    <row r="86" spans="1:11" ht="21.75" customHeight="1" x14ac:dyDescent="0.35">
      <c r="A86" s="1"/>
      <c r="B86" s="3">
        <f>'Leads Data'!B8</f>
        <v>0</v>
      </c>
      <c r="C86" s="3" t="str">
        <f>'Leads Data'!M8</f>
        <v>Iraq</v>
      </c>
      <c r="D86" s="3" t="str">
        <f>'Leads Data'!J8</f>
        <v>Reply to be Given</v>
      </c>
      <c r="E86" s="3" t="str">
        <f>'Leads Data'!F8</f>
        <v>Product Supply</v>
      </c>
      <c r="F86" s="4">
        <f>'Leads Data'!G8</f>
        <v>0</v>
      </c>
      <c r="G86" s="3" t="str">
        <f>'Leads Data'!C8</f>
        <v>Dr. Rasar Rahim</v>
      </c>
      <c r="H86" s="3" t="str">
        <f>'Leads Data'!Q8</f>
        <v>export pricing required</v>
      </c>
    </row>
    <row r="87" spans="1:11" ht="21.75" customHeight="1" x14ac:dyDescent="0.35">
      <c r="A87" s="1"/>
      <c r="B87" s="5" t="str">
        <f>'Leads Data'!B9</f>
        <v> Mongolian burn association </v>
      </c>
      <c r="C87" s="5" t="str">
        <f>'Leads Data'!M9</f>
        <v>Mongolia</v>
      </c>
      <c r="D87" s="5" t="str">
        <f>'Leads Data'!J9</f>
        <v>Reply to be Given</v>
      </c>
      <c r="E87" s="5" t="str">
        <f>'Leads Data'!F9</f>
        <v>Phased Collaboration</v>
      </c>
      <c r="F87" s="6">
        <f>'Leads Data'!G9</f>
        <v>0</v>
      </c>
      <c r="G87" s="5" t="str">
        <f>'Leads Data'!C9</f>
        <v>Dr. Batorgil Enkhbayar</v>
      </c>
      <c r="H87" s="5" t="str">
        <f>'Leads Data'!Q9</f>
        <v>email to be replied</v>
      </c>
    </row>
    <row r="88" spans="1:11" ht="21.75" customHeight="1" x14ac:dyDescent="0.35">
      <c r="A88" s="1"/>
      <c r="B88" s="3" t="str">
        <f>'Leads Data'!B10</f>
        <v>JMB Pharmaceuticals Pvt. Ltd. </v>
      </c>
      <c r="C88" s="3" t="str">
        <f>'Leads Data'!M10</f>
        <v>Turkmenistan</v>
      </c>
      <c r="D88" s="3" t="str">
        <f>'Leads Data'!J10</f>
        <v>Reply to be Given</v>
      </c>
      <c r="E88" s="3" t="str">
        <f>'Leads Data'!F10</f>
        <v>Product Supply</v>
      </c>
      <c r="F88" s="4">
        <f>'Leads Data'!G10</f>
        <v>0</v>
      </c>
      <c r="G88" s="3" t="str">
        <f>'Leads Data'!C10</f>
        <v>Krishna Mehta </v>
      </c>
      <c r="H88" s="3" t="str">
        <f>'Leads Data'!Q10</f>
        <v>email to be replied</v>
      </c>
    </row>
    <row r="89" spans="1:11" ht="21.75" customHeight="1" x14ac:dyDescent="0.35">
      <c r="A89" s="1"/>
      <c r="B89" s="5" t="str">
        <f>'Leads Data'!B11</f>
        <v>Tripalogix Pty Ltd</v>
      </c>
      <c r="C89" s="5" t="str">
        <f>'Leads Data'!M11</f>
        <v>South Africa</v>
      </c>
      <c r="D89" s="5" t="str">
        <f>'Leads Data'!J11</f>
        <v>Reply to be Given</v>
      </c>
      <c r="E89" s="5" t="str">
        <f>'Leads Data'!F11</f>
        <v>Product Supply</v>
      </c>
      <c r="F89" s="6">
        <f>'Leads Data'!G11</f>
        <v>0</v>
      </c>
      <c r="G89" s="5" t="str">
        <f>'Leads Data'!C11</f>
        <v>Karabo Motsamai Vuso</v>
      </c>
      <c r="H89" s="5" t="str">
        <f>'Leads Data'!Q11</f>
        <v>email to be replied</v>
      </c>
    </row>
    <row r="90" spans="1:11" ht="21.75" customHeight="1" x14ac:dyDescent="0.35">
      <c r="A90" s="50" t="s">
        <v>19</v>
      </c>
      <c r="B90" s="50"/>
      <c r="C90" s="50"/>
      <c r="D90" s="50"/>
      <c r="E90" s="50"/>
      <c r="F90" s="50"/>
      <c r="G90" s="50"/>
      <c r="H90" s="50"/>
      <c r="I90" s="50"/>
      <c r="J90" s="50"/>
      <c r="K90" s="50"/>
    </row>
    <row r="91" spans="1:11" ht="15" customHeight="1" x14ac:dyDescent="0.35">
      <c r="A91" s="1"/>
    </row>
    <row r="92" spans="1:11" ht="15" customHeight="1" x14ac:dyDescent="0.35">
      <c r="A92" s="1"/>
    </row>
  </sheetData>
  <mergeCells count="88">
    <mergeCell ref="A1:K1"/>
    <mergeCell ref="A2:K2"/>
    <mergeCell ref="A3:K3"/>
    <mergeCell ref="A4:K4"/>
    <mergeCell ref="A5:K5"/>
    <mergeCell ref="B6:C6"/>
    <mergeCell ref="D6:E6"/>
    <mergeCell ref="G6:H6"/>
    <mergeCell ref="I6:J6"/>
    <mergeCell ref="B7:C9"/>
    <mergeCell ref="D7:E9"/>
    <mergeCell ref="G7:H9"/>
    <mergeCell ref="I7:J9"/>
    <mergeCell ref="B10:C10"/>
    <mergeCell ref="D10:E10"/>
    <mergeCell ref="G10:H10"/>
    <mergeCell ref="I10:J10"/>
    <mergeCell ref="A11:K11"/>
    <mergeCell ref="A12:E12"/>
    <mergeCell ref="F12:K12"/>
    <mergeCell ref="A13:K13"/>
    <mergeCell ref="A14:K14"/>
    <mergeCell ref="A15:K15"/>
    <mergeCell ref="A16:K16"/>
    <mergeCell ref="A17:K17"/>
    <mergeCell ref="A18:K18"/>
    <mergeCell ref="A19:K19"/>
    <mergeCell ref="A20:K20"/>
    <mergeCell ref="A21:K21"/>
    <mergeCell ref="A22:K22"/>
    <mergeCell ref="A23:K23"/>
    <mergeCell ref="A24:K24"/>
    <mergeCell ref="A25:K25"/>
    <mergeCell ref="A26:K26"/>
    <mergeCell ref="A27:K27"/>
    <mergeCell ref="A28:K28"/>
    <mergeCell ref="A29:K29"/>
    <mergeCell ref="A30:K30"/>
    <mergeCell ref="A31:K31"/>
    <mergeCell ref="A32:K32"/>
    <mergeCell ref="A34:E34"/>
    <mergeCell ref="F34:K34"/>
    <mergeCell ref="A35:K35"/>
    <mergeCell ref="A36:K36"/>
    <mergeCell ref="A37:K37"/>
    <mergeCell ref="A38:K38"/>
    <mergeCell ref="A39:K39"/>
    <mergeCell ref="A40:K40"/>
    <mergeCell ref="A41:K41"/>
    <mergeCell ref="A42:K42"/>
    <mergeCell ref="A43:K43"/>
    <mergeCell ref="A44:K44"/>
    <mergeCell ref="A45:K45"/>
    <mergeCell ref="A46:K46"/>
    <mergeCell ref="A47:K47"/>
    <mergeCell ref="A48:K48"/>
    <mergeCell ref="A49:K49"/>
    <mergeCell ref="A50:K50"/>
    <mergeCell ref="A51:K51"/>
    <mergeCell ref="A52:K52"/>
    <mergeCell ref="A53:K53"/>
    <mergeCell ref="A54:K54"/>
    <mergeCell ref="A56:K56"/>
    <mergeCell ref="A57:K57"/>
    <mergeCell ref="A58:K58"/>
    <mergeCell ref="A59:K59"/>
    <mergeCell ref="A60:K60"/>
    <mergeCell ref="A61:K61"/>
    <mergeCell ref="A62:K62"/>
    <mergeCell ref="A63:K63"/>
    <mergeCell ref="A64:K64"/>
    <mergeCell ref="A65:K65"/>
    <mergeCell ref="A66:K66"/>
    <mergeCell ref="A67:K67"/>
    <mergeCell ref="A68:K68"/>
    <mergeCell ref="A69:K69"/>
    <mergeCell ref="A70:K70"/>
    <mergeCell ref="A71:K71"/>
    <mergeCell ref="A72:K72"/>
    <mergeCell ref="A73:K73"/>
    <mergeCell ref="A74:K74"/>
    <mergeCell ref="A75:K75"/>
    <mergeCell ref="A76:K76"/>
    <mergeCell ref="A77:K77"/>
    <mergeCell ref="A78:K78"/>
    <mergeCell ref="A79:K79"/>
    <mergeCell ref="A80:K80"/>
    <mergeCell ref="A90:K9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8B6F"/>
  </sheetPr>
  <dimension ref="A1:H27"/>
  <sheetViews>
    <sheetView showGridLines="0" topLeftCell="A9" zoomScaleNormal="100" workbookViewId="0">
      <selection activeCell="B2" sqref="B2"/>
    </sheetView>
  </sheetViews>
  <sheetFormatPr defaultColWidth="8.6328125" defaultRowHeight="14.5" x14ac:dyDescent="0.35"/>
  <cols>
    <col min="1" max="1" width="22" customWidth="1"/>
    <col min="2" max="2" width="8" customWidth="1"/>
    <col min="3" max="3" width="2" customWidth="1"/>
    <col min="4" max="4" width="22" customWidth="1"/>
    <col min="5" max="5" width="8" customWidth="1"/>
    <col min="6" max="6" width="2" customWidth="1"/>
    <col min="7" max="7" width="26" customWidth="1"/>
    <col min="8" max="8" width="14" customWidth="1"/>
    <col min="9" max="9" width="2" customWidth="1"/>
  </cols>
  <sheetData>
    <row r="1" spans="1:8" ht="21.75" customHeight="1" x14ac:dyDescent="0.35">
      <c r="A1" s="68" t="s">
        <v>92</v>
      </c>
      <c r="B1" s="68"/>
      <c r="C1" s="25"/>
      <c r="D1" s="69" t="s">
        <v>93</v>
      </c>
      <c r="E1" s="69"/>
      <c r="F1" s="25"/>
      <c r="G1" s="69" t="s">
        <v>94</v>
      </c>
      <c r="H1" s="69"/>
    </row>
    <row r="2" spans="1:8" ht="19.5" customHeight="1" x14ac:dyDescent="0.35">
      <c r="A2" s="26" t="s">
        <v>95</v>
      </c>
      <c r="B2" s="26" t="s">
        <v>96</v>
      </c>
      <c r="C2" s="25"/>
      <c r="D2" s="26" t="s">
        <v>13</v>
      </c>
      <c r="E2" s="26" t="s">
        <v>97</v>
      </c>
      <c r="F2" s="25"/>
      <c r="G2" s="26" t="s">
        <v>98</v>
      </c>
      <c r="H2" s="26" t="s">
        <v>99</v>
      </c>
    </row>
    <row r="3" spans="1:8" ht="14.25" customHeight="1" x14ac:dyDescent="0.35">
      <c r="A3" s="5" t="s">
        <v>36</v>
      </c>
      <c r="B3" s="27">
        <f>COUNTIF('Leads Data'!I:I,"Email")</f>
        <v>8</v>
      </c>
      <c r="C3" s="25"/>
      <c r="D3" s="5" t="s">
        <v>40</v>
      </c>
      <c r="E3" s="27">
        <f>COUNTIF('Leads Data'!M:M,"Zambia")</f>
        <v>1</v>
      </c>
      <c r="F3" s="25"/>
      <c r="G3" s="5" t="s">
        <v>33</v>
      </c>
      <c r="H3" s="28">
        <f>SUMIF('Leads Data'!B:B,"Afrimed Pharmaceutical Ltd.",'Leads Data'!G:G)</f>
        <v>680256</v>
      </c>
    </row>
    <row r="4" spans="1:8" ht="14.25" customHeight="1" x14ac:dyDescent="0.35">
      <c r="A4" s="3" t="s">
        <v>100</v>
      </c>
      <c r="B4" s="29">
        <f>COUNTIF('Leads Data'!I:I,"Referral")</f>
        <v>0</v>
      </c>
      <c r="C4" s="25"/>
      <c r="D4" s="3" t="s">
        <v>49</v>
      </c>
      <c r="E4" s="29">
        <f>COUNTIF('Leads Data'!M:M,"Nigeria")</f>
        <v>1</v>
      </c>
      <c r="F4" s="25"/>
      <c r="G4" s="3" t="s">
        <v>45</v>
      </c>
      <c r="H4" s="30">
        <f>SUMIF('Leads Data'!B:B,"SJS Life Sciences Ltd.",'Leads Data'!G:G)</f>
        <v>680256</v>
      </c>
    </row>
    <row r="5" spans="1:8" ht="14.25" customHeight="1" x14ac:dyDescent="0.35">
      <c r="A5" s="5" t="s">
        <v>101</v>
      </c>
      <c r="B5" s="27">
        <f>COUNTIF('Leads Data'!I:I,"Exhibition")</f>
        <v>0</v>
      </c>
      <c r="C5" s="25"/>
      <c r="D5" s="5" t="s">
        <v>59</v>
      </c>
      <c r="E5" s="27">
        <f>COUNTIF('Leads Data'!M:M,"Bangladesh")</f>
        <v>1</v>
      </c>
      <c r="F5" s="25"/>
      <c r="G5" s="5" t="s">
        <v>53</v>
      </c>
      <c r="H5" s="28">
        <f>SUMIF('Leads Data'!B:B,"Medikit Corporation",'Leads Data'!G:G)</f>
        <v>62458200</v>
      </c>
    </row>
    <row r="6" spans="1:8" ht="14.25" customHeight="1" x14ac:dyDescent="0.35">
      <c r="A6" s="3" t="s">
        <v>102</v>
      </c>
      <c r="B6" s="29">
        <f>COUNTIF('Leads Data'!I:I,"ITEC")</f>
        <v>1</v>
      </c>
      <c r="C6" s="25"/>
      <c r="D6" s="3" t="s">
        <v>67</v>
      </c>
      <c r="E6" s="29">
        <f>COUNTIF('Leads Data'!M:M,"Togo")</f>
        <v>1</v>
      </c>
      <c r="F6" s="25"/>
      <c r="G6" s="3" t="s">
        <v>103</v>
      </c>
      <c r="H6" s="30">
        <f>SUMIF('Leads Data'!B:B,"Kamsitoc Global Trading Sarl",'Leads Data'!G:G)</f>
        <v>45000</v>
      </c>
    </row>
    <row r="7" spans="1:8" ht="14.25" customHeight="1" x14ac:dyDescent="0.35">
      <c r="A7" s="5" t="s">
        <v>104</v>
      </c>
      <c r="B7" s="27">
        <f>COUNTIF('Leads Data'!I:I,"Eximpedia")</f>
        <v>0</v>
      </c>
      <c r="C7" s="25"/>
      <c r="D7" s="5" t="s">
        <v>74</v>
      </c>
      <c r="E7" s="27">
        <f>COUNTIF('Leads Data'!M:M,"Iraq")</f>
        <v>1</v>
      </c>
      <c r="F7" s="25"/>
      <c r="G7" s="5" t="s">
        <v>105</v>
      </c>
      <c r="H7" s="28">
        <f>SUMIF('Leads Data'!B:B,"JMB Pharmaceuticals Pvt. Ltd. ",'Leads Data'!G:G)</f>
        <v>0</v>
      </c>
    </row>
    <row r="8" spans="1:8" ht="14.25" customHeight="1" x14ac:dyDescent="0.35">
      <c r="A8" s="31" t="s">
        <v>106</v>
      </c>
      <c r="B8" s="32">
        <f>SUM(B3:B7)</f>
        <v>9</v>
      </c>
      <c r="C8" s="25"/>
      <c r="D8" s="3" t="s">
        <v>79</v>
      </c>
      <c r="E8" s="29">
        <f>COUNTIF('Leads Data'!M:M,"Mongolia")</f>
        <v>1</v>
      </c>
      <c r="F8" s="25"/>
      <c r="G8" s="3" t="s">
        <v>107</v>
      </c>
      <c r="H8" s="30">
        <f>SUMIF('Leads Data'!B:B,"Tripalogix Pty Ltd",'Leads Data'!G:G)</f>
        <v>0</v>
      </c>
    </row>
    <row r="9" spans="1:8" ht="14.25" customHeight="1" x14ac:dyDescent="0.35">
      <c r="A9" s="25"/>
      <c r="B9" s="25"/>
      <c r="C9" s="25"/>
      <c r="D9" s="5" t="s">
        <v>85</v>
      </c>
      <c r="E9" s="27">
        <f>COUNTIF('Leads Data'!M:M,"Turkmenistan")</f>
        <v>1</v>
      </c>
      <c r="F9" s="25"/>
      <c r="G9" s="33" t="s">
        <v>106</v>
      </c>
      <c r="H9" s="34">
        <f>SUM(H3:H8)</f>
        <v>63863712</v>
      </c>
    </row>
    <row r="10" spans="1:8" ht="21.75" customHeight="1" x14ac:dyDescent="0.35">
      <c r="A10" s="68" t="s">
        <v>108</v>
      </c>
      <c r="B10" s="68"/>
      <c r="C10" s="25"/>
      <c r="D10" s="3" t="s">
        <v>90</v>
      </c>
      <c r="E10" s="29">
        <f>COUNTIF('Leads Data'!M:M,"South Africa")</f>
        <v>1</v>
      </c>
      <c r="F10" s="25"/>
      <c r="G10" s="25"/>
      <c r="H10" s="25"/>
    </row>
    <row r="11" spans="1:8" ht="19.5" customHeight="1" x14ac:dyDescent="0.35">
      <c r="A11" s="26" t="s">
        <v>109</v>
      </c>
      <c r="B11" s="26" t="s">
        <v>96</v>
      </c>
      <c r="C11" s="25"/>
      <c r="D11" s="5" t="s">
        <v>110</v>
      </c>
      <c r="E11" s="27">
        <f>COUNTIF('Leads Data'!M:M,"Uganda")</f>
        <v>0</v>
      </c>
      <c r="F11" s="25"/>
      <c r="G11" s="25"/>
      <c r="H11" s="25"/>
    </row>
    <row r="12" spans="1:8" ht="14.25" customHeight="1" x14ac:dyDescent="0.35">
      <c r="A12" s="3" t="s">
        <v>72</v>
      </c>
      <c r="B12" s="29">
        <f>COUNTIF('Leads Data'!J:J,"Reply to be Given")</f>
        <v>4</v>
      </c>
      <c r="C12" s="35"/>
      <c r="D12" s="36" t="s">
        <v>111</v>
      </c>
      <c r="E12" s="29">
        <f>COUNTIF('Leads Data'!M:M,"Kenya")</f>
        <v>0</v>
      </c>
      <c r="F12" s="25"/>
      <c r="G12" s="35"/>
      <c r="H12" s="37"/>
    </row>
    <row r="13" spans="1:8" ht="14.25" customHeight="1" x14ac:dyDescent="0.35">
      <c r="A13" s="5" t="s">
        <v>112</v>
      </c>
      <c r="B13" s="27">
        <f>COUNTIF('Leads Data'!J:J,"No Reply")</f>
        <v>0</v>
      </c>
      <c r="C13" s="35"/>
      <c r="D13" s="38" t="s">
        <v>113</v>
      </c>
      <c r="E13" s="27">
        <f>COUNTIF('Leads Data'!M:M,"Ethiopia")</f>
        <v>0</v>
      </c>
      <c r="F13" s="25"/>
      <c r="G13" s="35"/>
      <c r="H13" s="37"/>
    </row>
    <row r="14" spans="1:8" ht="14.25" customHeight="1" x14ac:dyDescent="0.35">
      <c r="A14" s="3" t="s">
        <v>37</v>
      </c>
      <c r="B14" s="29">
        <f>COUNTIF('Leads Data'!J:J,"Interested")</f>
        <v>5</v>
      </c>
      <c r="C14" s="35"/>
      <c r="D14" s="36" t="s">
        <v>114</v>
      </c>
      <c r="E14" s="29">
        <f>COUNTIF('Leads Data'!M:M,"Ghana")</f>
        <v>0</v>
      </c>
      <c r="F14" s="25"/>
      <c r="G14" s="35"/>
      <c r="H14" s="37"/>
    </row>
    <row r="15" spans="1:8" ht="14.25" customHeight="1" x14ac:dyDescent="0.35">
      <c r="A15" s="5" t="s">
        <v>56</v>
      </c>
      <c r="B15" s="27">
        <f>COUNTIF('Leads Data'!J:J,"Not Interested")</f>
        <v>1</v>
      </c>
      <c r="C15" s="35"/>
      <c r="D15" s="38" t="s">
        <v>115</v>
      </c>
      <c r="E15" s="27">
        <f>COUNTIF('Leads Data'!M:M,"Tanzania")</f>
        <v>2</v>
      </c>
      <c r="F15" s="25"/>
      <c r="G15" s="35"/>
      <c r="H15" s="37"/>
    </row>
    <row r="16" spans="1:8" ht="14.25" customHeight="1" x14ac:dyDescent="0.35">
      <c r="A16" s="3" t="s">
        <v>38</v>
      </c>
      <c r="B16" s="29">
        <f>COUNTIF('Leads Data'!J:J,"Negotiating")</f>
        <v>1</v>
      </c>
      <c r="C16" s="35"/>
      <c r="D16" s="36" t="s">
        <v>116</v>
      </c>
      <c r="E16" s="29">
        <f>COUNTIF('Leads Data'!M:M,"Egypt")</f>
        <v>0</v>
      </c>
      <c r="F16" s="25"/>
      <c r="G16" s="35"/>
      <c r="H16" s="37"/>
    </row>
    <row r="17" spans="1:8" ht="14.25" customHeight="1" x14ac:dyDescent="0.35">
      <c r="A17" s="33" t="s">
        <v>106</v>
      </c>
      <c r="B17" s="39">
        <f>SUM(B12:B16)</f>
        <v>11</v>
      </c>
      <c r="C17" s="35"/>
      <c r="D17" s="38" t="s">
        <v>117</v>
      </c>
      <c r="E17" s="27">
        <f>COUNTIF('Leads Data'!M:M,"Sudan")</f>
        <v>0</v>
      </c>
      <c r="F17" s="25"/>
      <c r="G17" s="35"/>
      <c r="H17" s="37"/>
    </row>
    <row r="18" spans="1:8" ht="14.25" customHeight="1" x14ac:dyDescent="0.35">
      <c r="A18" s="25"/>
      <c r="B18" s="25"/>
      <c r="C18" s="35"/>
      <c r="D18" s="36" t="s">
        <v>118</v>
      </c>
      <c r="E18" s="29">
        <f>COUNTIF('Leads Data'!M:M,"Cameroon")</f>
        <v>0</v>
      </c>
      <c r="F18" s="25"/>
      <c r="G18" s="35"/>
      <c r="H18" s="37"/>
    </row>
    <row r="19" spans="1:8" ht="21.75" customHeight="1" x14ac:dyDescent="0.35">
      <c r="A19" s="68" t="s">
        <v>119</v>
      </c>
      <c r="B19" s="68"/>
      <c r="C19" s="35"/>
      <c r="D19" s="38" t="s">
        <v>120</v>
      </c>
      <c r="E19" s="27">
        <f>COUNTIF('Leads Data'!M:M,"Rwanda")</f>
        <v>0</v>
      </c>
      <c r="F19" s="25"/>
      <c r="G19" s="35"/>
      <c r="H19" s="37"/>
    </row>
    <row r="20" spans="1:8" ht="19.5" customHeight="1" x14ac:dyDescent="0.35">
      <c r="A20" s="26" t="s">
        <v>15</v>
      </c>
      <c r="B20" s="26" t="s">
        <v>96</v>
      </c>
      <c r="C20" s="35"/>
      <c r="D20" s="36" t="s">
        <v>121</v>
      </c>
      <c r="E20" s="29">
        <f>COUNTIF('Leads Data'!M:M,"Vietnam")</f>
        <v>0</v>
      </c>
      <c r="F20" s="25"/>
      <c r="G20" s="35"/>
      <c r="H20" s="37"/>
    </row>
    <row r="21" spans="1:8" ht="14.25" customHeight="1" x14ac:dyDescent="0.35">
      <c r="A21" s="5" t="s">
        <v>122</v>
      </c>
      <c r="B21" s="27">
        <f>COUNTIF('Leads Data'!F:F,"Product Supply")</f>
        <v>7</v>
      </c>
      <c r="C21" s="35"/>
      <c r="D21" s="40" t="s">
        <v>106</v>
      </c>
      <c r="E21" s="39">
        <f>SUM(E3:E20)</f>
        <v>10</v>
      </c>
      <c r="F21" s="25"/>
      <c r="G21" s="35"/>
      <c r="H21" s="37"/>
    </row>
    <row r="22" spans="1:8" ht="14.25" customHeight="1" x14ac:dyDescent="0.35">
      <c r="A22" s="3" t="s">
        <v>123</v>
      </c>
      <c r="B22" s="29">
        <f>COUNTIF('Leads Data'!F:F,"Phased Collaboration")</f>
        <v>3</v>
      </c>
      <c r="C22" s="35"/>
      <c r="D22" s="37"/>
      <c r="E22" s="25"/>
      <c r="F22" s="25"/>
      <c r="G22" s="35"/>
      <c r="H22" s="37"/>
    </row>
    <row r="23" spans="1:8" ht="14.25" customHeight="1" x14ac:dyDescent="0.35">
      <c r="A23" s="5" t="s">
        <v>124</v>
      </c>
      <c r="B23" s="27">
        <f>COUNTIF('Leads Data'!F:F,"TOT and Manufacturing")</f>
        <v>1</v>
      </c>
      <c r="C23" s="35"/>
      <c r="D23" s="37"/>
      <c r="E23" s="25"/>
      <c r="F23" s="25"/>
      <c r="G23" s="35"/>
      <c r="H23" s="37"/>
    </row>
    <row r="24" spans="1:8" ht="14.25" customHeight="1" x14ac:dyDescent="0.35">
      <c r="A24" s="31" t="s">
        <v>106</v>
      </c>
      <c r="B24" s="32">
        <f>SUM(B21:B23)</f>
        <v>11</v>
      </c>
      <c r="C24" s="35"/>
      <c r="D24" s="37"/>
      <c r="E24" s="25"/>
      <c r="F24" s="25"/>
      <c r="G24" s="35"/>
      <c r="H24" s="37"/>
    </row>
    <row r="25" spans="1:8" ht="14.25" customHeight="1" x14ac:dyDescent="0.35">
      <c r="A25" s="25"/>
      <c r="B25" s="25"/>
      <c r="C25" s="35"/>
      <c r="D25" s="37"/>
      <c r="E25" s="25"/>
      <c r="F25" s="25"/>
      <c r="G25" s="35"/>
      <c r="H25" s="37"/>
    </row>
    <row r="26" spans="1:8" ht="14.25" customHeight="1" x14ac:dyDescent="0.35">
      <c r="A26" s="25"/>
      <c r="B26" s="25"/>
      <c r="C26" s="35"/>
      <c r="D26" s="37"/>
      <c r="E26" s="25"/>
      <c r="F26" s="25"/>
      <c r="G26" s="35"/>
      <c r="H26" s="37"/>
    </row>
    <row r="27" spans="1:8" ht="14.25" customHeight="1" x14ac:dyDescent="0.35">
      <c r="A27" s="25"/>
      <c r="B27" s="25"/>
      <c r="C27" s="35"/>
      <c r="D27" s="37"/>
      <c r="E27" s="25"/>
      <c r="F27" s="25"/>
      <c r="G27" s="35"/>
      <c r="H27" s="37"/>
    </row>
  </sheetData>
  <mergeCells count="5">
    <mergeCell ref="A1:B1"/>
    <mergeCell ref="D1:E1"/>
    <mergeCell ref="G1:H1"/>
    <mergeCell ref="A10:B10"/>
    <mergeCell ref="A19:B1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A6475"/>
  </sheetPr>
  <dimension ref="A1:C6"/>
  <sheetViews>
    <sheetView showGridLines="0" zoomScaleNormal="100" workbookViewId="0">
      <selection activeCell="B5" sqref="B5"/>
    </sheetView>
  </sheetViews>
  <sheetFormatPr defaultColWidth="8.6328125" defaultRowHeight="14.5" x14ac:dyDescent="0.35"/>
  <cols>
    <col min="1" max="1" width="30" customWidth="1"/>
    <col min="2" max="2" width="60" customWidth="1"/>
    <col min="3" max="3" width="50" customWidth="1"/>
  </cols>
  <sheetData>
    <row r="1" spans="1:3" ht="30" customHeight="1" x14ac:dyDescent="0.35">
      <c r="A1" s="70" t="s">
        <v>125</v>
      </c>
      <c r="B1" s="70"/>
      <c r="C1" s="70"/>
    </row>
    <row r="3" spans="1:3" ht="14.25" customHeight="1" x14ac:dyDescent="0.35">
      <c r="A3" s="41" t="s">
        <v>126</v>
      </c>
      <c r="B3" s="42">
        <v>80</v>
      </c>
      <c r="C3" s="43" t="s">
        <v>127</v>
      </c>
    </row>
    <row r="4" spans="1:3" ht="14.25" customHeight="1" x14ac:dyDescent="0.35">
      <c r="A4" s="41" t="s">
        <v>12</v>
      </c>
      <c r="B4" s="42" t="s">
        <v>128</v>
      </c>
      <c r="C4" s="43"/>
    </row>
    <row r="5" spans="1:3" ht="14.25" customHeight="1" x14ac:dyDescent="0.35">
      <c r="A5" s="41" t="s">
        <v>129</v>
      </c>
      <c r="B5" s="42" t="s">
        <v>130</v>
      </c>
      <c r="C5" s="43"/>
    </row>
    <row r="6" spans="1:3" ht="14.25" customHeight="1" x14ac:dyDescent="0.35">
      <c r="A6" s="41" t="s">
        <v>131</v>
      </c>
      <c r="B6" s="42" t="s">
        <v>132</v>
      </c>
      <c r="C6" s="43"/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Leads Data</vt:lpstr>
      <vt:lpstr>Dashboard</vt:lpstr>
      <vt:lpstr>Summary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muskan kakkar</cp:lastModifiedBy>
  <cp:revision>3</cp:revision>
  <dcterms:created xsi:type="dcterms:W3CDTF">2026-05-13T08:07:31Z</dcterms:created>
  <dcterms:modified xsi:type="dcterms:W3CDTF">2026-05-20T07:05:16Z</dcterms:modified>
  <dc:language>en-US</dc:language>
</cp:coreProperties>
</file>